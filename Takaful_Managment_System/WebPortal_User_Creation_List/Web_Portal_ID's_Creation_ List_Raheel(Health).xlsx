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X:\burhan_ali\Takaful_Managment_System\WebPortal_User_Creation_List\"/>
    </mc:Choice>
  </mc:AlternateContent>
  <xr:revisionPtr revIDLastSave="0" documentId="13_ncr:1_{CCF5370D-1547-4457-9AC5-05E64B3CD4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ing" sheetId="11" r:id="rId1"/>
    <sheet name="Sheet2" sheetId="12" r:id="rId2"/>
  </sheets>
  <definedNames>
    <definedName name="_xlnm._FilterDatabase" localSheetId="0" hidden="1">Working!$A$1:$AP$259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P333" i="11" l="1"/>
  <c r="AO333" i="11"/>
  <c r="AN333" i="11"/>
  <c r="AM333" i="11"/>
  <c r="AL333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J326" i="11"/>
  <c r="AK326" i="11"/>
  <c r="AL326" i="11"/>
  <c r="AM326" i="11"/>
  <c r="AN326" i="11"/>
  <c r="AO326" i="11"/>
  <c r="AP326" i="11"/>
  <c r="S325" i="11" l="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J325" i="11"/>
  <c r="AK325" i="11"/>
  <c r="AL325" i="11"/>
  <c r="AM325" i="11"/>
  <c r="AN325" i="11"/>
  <c r="AO325" i="11"/>
  <c r="AP325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J324" i="11"/>
  <c r="AK324" i="11"/>
  <c r="AL324" i="11"/>
  <c r="AM324" i="11"/>
  <c r="AN324" i="11"/>
  <c r="AO324" i="11"/>
  <c r="AP324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J323" i="11"/>
  <c r="AK323" i="11"/>
  <c r="AL323" i="11"/>
  <c r="AM323" i="11"/>
  <c r="AN323" i="11"/>
  <c r="AO323" i="11"/>
  <c r="AP323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J322" i="11"/>
  <c r="AK322" i="11"/>
  <c r="AL322" i="11"/>
  <c r="AM322" i="11"/>
  <c r="AN322" i="11"/>
  <c r="AO322" i="11"/>
  <c r="AP322" i="11"/>
  <c r="S321" i="11" l="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J321" i="11"/>
  <c r="AK321" i="11"/>
  <c r="AL321" i="11"/>
  <c r="AM321" i="11"/>
  <c r="AN321" i="11"/>
  <c r="AO321" i="11"/>
  <c r="AP321" i="11"/>
  <c r="S320" i="11" l="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J320" i="11"/>
  <c r="AK320" i="11"/>
  <c r="AL320" i="11"/>
  <c r="AM320" i="11"/>
  <c r="AN320" i="11"/>
  <c r="AO320" i="11"/>
  <c r="AP320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J319" i="11"/>
  <c r="AK319" i="11"/>
  <c r="AL319" i="11"/>
  <c r="AM319" i="11"/>
  <c r="AN319" i="11"/>
  <c r="AO319" i="11"/>
  <c r="AP319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J318" i="11"/>
  <c r="AK318" i="11"/>
  <c r="AL318" i="11"/>
  <c r="AM318" i="11"/>
  <c r="AN318" i="11"/>
  <c r="AO318" i="11"/>
  <c r="AP318" i="11"/>
  <c r="S317" i="11" l="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J317" i="11"/>
  <c r="AK317" i="11"/>
  <c r="AL317" i="11"/>
  <c r="AM317" i="11"/>
  <c r="AN317" i="11"/>
  <c r="AO317" i="11"/>
  <c r="AP317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J316" i="11"/>
  <c r="AK316" i="11"/>
  <c r="AL316" i="11"/>
  <c r="AM316" i="11"/>
  <c r="AN316" i="11"/>
  <c r="AO316" i="11"/>
  <c r="AP316" i="11"/>
  <c r="S315" i="11" l="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J315" i="11"/>
  <c r="AK315" i="11"/>
  <c r="AL315" i="11"/>
  <c r="AM315" i="11"/>
  <c r="AN315" i="11"/>
  <c r="AO315" i="11"/>
  <c r="AP315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J314" i="11"/>
  <c r="AK314" i="11"/>
  <c r="AL314" i="11"/>
  <c r="AM314" i="11"/>
  <c r="AN314" i="11"/>
  <c r="AO314" i="11"/>
  <c r="AP314" i="11"/>
  <c r="AK313" i="11"/>
  <c r="AL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J313" i="11"/>
  <c r="AM313" i="11"/>
  <c r="AN313" i="11"/>
  <c r="AO313" i="11"/>
  <c r="AP313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J312" i="11"/>
  <c r="AK312" i="11"/>
  <c r="AL312" i="11"/>
  <c r="AM312" i="11"/>
  <c r="AN312" i="11"/>
  <c r="AO312" i="11"/>
  <c r="AP312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J311" i="11"/>
  <c r="AK311" i="11"/>
  <c r="AL311" i="11"/>
  <c r="AM311" i="11"/>
  <c r="AN311" i="11"/>
  <c r="AO311" i="11"/>
  <c r="AP311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J310" i="11"/>
  <c r="AK310" i="11"/>
  <c r="AL310" i="11"/>
  <c r="AM310" i="11"/>
  <c r="AN310" i="11"/>
  <c r="AO310" i="11"/>
  <c r="AP310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J309" i="11"/>
  <c r="AK309" i="11"/>
  <c r="AL309" i="11"/>
  <c r="AM309" i="11"/>
  <c r="AN309" i="11"/>
  <c r="AO309" i="11"/>
  <c r="AP309" i="11"/>
  <c r="S308" i="11" l="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J308" i="11"/>
  <c r="AK308" i="11"/>
  <c r="AL308" i="11"/>
  <c r="AM308" i="11"/>
  <c r="AN308" i="11"/>
  <c r="AO308" i="11"/>
  <c r="AP308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J307" i="11"/>
  <c r="AK307" i="11"/>
  <c r="AL307" i="11"/>
  <c r="AM307" i="11"/>
  <c r="AN307" i="11"/>
  <c r="AO307" i="11"/>
  <c r="AP307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J305" i="11"/>
  <c r="AK305" i="11"/>
  <c r="AL305" i="11"/>
  <c r="AM305" i="11"/>
  <c r="AN305" i="11"/>
  <c r="AO305" i="11"/>
  <c r="AP305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J306" i="11"/>
  <c r="AK306" i="11"/>
  <c r="AL306" i="11"/>
  <c r="AM306" i="11"/>
  <c r="AN306" i="11"/>
  <c r="AO306" i="11"/>
  <c r="AP306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J304" i="11"/>
  <c r="AK304" i="11"/>
  <c r="AL304" i="11"/>
  <c r="AM304" i="11"/>
  <c r="AN304" i="11"/>
  <c r="AO304" i="11"/>
  <c r="AP304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J303" i="11"/>
  <c r="AK303" i="11"/>
  <c r="AL303" i="11"/>
  <c r="AM303" i="11"/>
  <c r="AN303" i="11"/>
  <c r="AO303" i="11"/>
  <c r="AP303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J302" i="11"/>
  <c r="AK302" i="11"/>
  <c r="AL302" i="11"/>
  <c r="AM302" i="11"/>
  <c r="AN302" i="11"/>
  <c r="AO302" i="11"/>
  <c r="AP302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J301" i="11"/>
  <c r="AK301" i="11"/>
  <c r="AL301" i="11"/>
  <c r="AM301" i="11"/>
  <c r="AN301" i="11"/>
  <c r="AO301" i="11"/>
  <c r="AP301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J300" i="11"/>
  <c r="AK300" i="11"/>
  <c r="AL300" i="11"/>
  <c r="AM300" i="11"/>
  <c r="AN300" i="11"/>
  <c r="AO300" i="11"/>
  <c r="AP300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J299" i="11"/>
  <c r="AK299" i="11"/>
  <c r="AL299" i="11"/>
  <c r="AM299" i="11"/>
  <c r="AN299" i="11"/>
  <c r="AO299" i="11"/>
  <c r="AP299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J298" i="11"/>
  <c r="AK298" i="11"/>
  <c r="AL298" i="11"/>
  <c r="AM298" i="11"/>
  <c r="AN298" i="11"/>
  <c r="AO298" i="11"/>
  <c r="AP298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J297" i="11"/>
  <c r="AK297" i="11"/>
  <c r="AL297" i="11"/>
  <c r="AM297" i="11"/>
  <c r="AN297" i="11"/>
  <c r="AO297" i="11"/>
  <c r="AP297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J296" i="11"/>
  <c r="AK296" i="11"/>
  <c r="AL296" i="11"/>
  <c r="AM296" i="11"/>
  <c r="AN296" i="11"/>
  <c r="AO296" i="11"/>
  <c r="AP296" i="11"/>
  <c r="S295" i="11" l="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J295" i="11"/>
  <c r="AK295" i="11"/>
  <c r="AL295" i="11"/>
  <c r="AM295" i="11"/>
  <c r="AN295" i="11"/>
  <c r="AO295" i="11"/>
  <c r="AP295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J294" i="11"/>
  <c r="AK294" i="11"/>
  <c r="AL294" i="11"/>
  <c r="AM294" i="11"/>
  <c r="AN294" i="11"/>
  <c r="AO294" i="11"/>
  <c r="AP294" i="11"/>
  <c r="T293" i="11"/>
  <c r="S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J293" i="11"/>
  <c r="AK293" i="11"/>
  <c r="AL293" i="11"/>
  <c r="AM293" i="11"/>
  <c r="AN293" i="11"/>
  <c r="AO293" i="11"/>
  <c r="AP293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J289" i="11"/>
  <c r="AK289" i="11"/>
  <c r="AL289" i="11"/>
  <c r="AM289" i="11"/>
  <c r="AN289" i="11"/>
  <c r="AO289" i="11"/>
  <c r="AP289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J290" i="11"/>
  <c r="AK290" i="11"/>
  <c r="AL290" i="11"/>
  <c r="AM290" i="11"/>
  <c r="AN290" i="11"/>
  <c r="AO290" i="11"/>
  <c r="AP290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J291" i="11"/>
  <c r="AK291" i="11"/>
  <c r="AL291" i="11"/>
  <c r="AM291" i="11"/>
  <c r="AN291" i="11"/>
  <c r="AO291" i="11"/>
  <c r="AP291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J292" i="11"/>
  <c r="AK292" i="11"/>
  <c r="AL292" i="11"/>
  <c r="AM292" i="11"/>
  <c r="AN292" i="11"/>
  <c r="AO292" i="11"/>
  <c r="AP292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J287" i="11"/>
  <c r="AK287" i="11"/>
  <c r="AL287" i="11"/>
  <c r="AM287" i="11"/>
  <c r="AN287" i="11"/>
  <c r="AO287" i="11"/>
  <c r="AP287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J288" i="11"/>
  <c r="AK288" i="11"/>
  <c r="AL288" i="11"/>
  <c r="AM288" i="11"/>
  <c r="AN288" i="11"/>
  <c r="AO288" i="11"/>
  <c r="AP288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J286" i="11"/>
  <c r="AK286" i="11"/>
  <c r="AL286" i="11"/>
  <c r="AM286" i="11"/>
  <c r="AN286" i="11"/>
  <c r="AO286" i="11"/>
  <c r="AP286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J285" i="11"/>
  <c r="AK285" i="11"/>
  <c r="AL285" i="11"/>
  <c r="AM285" i="11"/>
  <c r="AN285" i="11"/>
  <c r="AO285" i="11"/>
  <c r="AP285" i="11"/>
  <c r="S284" i="11" l="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J284" i="11"/>
  <c r="AK284" i="11"/>
  <c r="AL284" i="11"/>
  <c r="AM284" i="11"/>
  <c r="AN284" i="11"/>
  <c r="AO284" i="11"/>
  <c r="AP284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J283" i="11"/>
  <c r="AK283" i="11"/>
  <c r="AL283" i="11"/>
  <c r="AM283" i="11"/>
  <c r="AN283" i="11"/>
  <c r="AO283" i="11"/>
  <c r="AP283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J282" i="11"/>
  <c r="AK282" i="11"/>
  <c r="AL282" i="11"/>
  <c r="AM282" i="11"/>
  <c r="AN282" i="11"/>
  <c r="AO282" i="11"/>
  <c r="AP282" i="11"/>
  <c r="S281" i="11" l="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J281" i="11"/>
  <c r="AK281" i="11"/>
  <c r="AL281" i="11"/>
  <c r="AM281" i="11"/>
  <c r="AN281" i="11"/>
  <c r="AO281" i="11"/>
  <c r="AP281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J280" i="11"/>
  <c r="AK280" i="11"/>
  <c r="AL280" i="11"/>
  <c r="AM280" i="11"/>
  <c r="AN280" i="11"/>
  <c r="AO280" i="11"/>
  <c r="AP280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J279" i="11"/>
  <c r="AK279" i="11"/>
  <c r="AL279" i="11"/>
  <c r="AM279" i="11"/>
  <c r="AN279" i="11"/>
  <c r="AO279" i="11"/>
  <c r="AP279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J278" i="11"/>
  <c r="AK278" i="11"/>
  <c r="AL278" i="11"/>
  <c r="AM278" i="11"/>
  <c r="AN278" i="11"/>
  <c r="AO278" i="11"/>
  <c r="AP278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J277" i="11"/>
  <c r="AK277" i="11"/>
  <c r="AL277" i="11"/>
  <c r="AM277" i="11"/>
  <c r="AN277" i="11"/>
  <c r="AO277" i="11"/>
  <c r="AP277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J276" i="11"/>
  <c r="AK276" i="11"/>
  <c r="AL276" i="11"/>
  <c r="AM276" i="11"/>
  <c r="AN276" i="11"/>
  <c r="AO276" i="11"/>
  <c r="AP276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J275" i="11"/>
  <c r="AK275" i="11"/>
  <c r="AL275" i="11"/>
  <c r="AM275" i="11"/>
  <c r="AN275" i="11"/>
  <c r="AO275" i="11"/>
  <c r="AP275" i="11"/>
  <c r="S274" i="11" l="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J274" i="11"/>
  <c r="AK274" i="11"/>
  <c r="AL274" i="11"/>
  <c r="AM274" i="11"/>
  <c r="AN274" i="11"/>
  <c r="AO274" i="11"/>
  <c r="AP274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J273" i="11"/>
  <c r="AK273" i="11"/>
  <c r="AL273" i="11"/>
  <c r="AM273" i="11"/>
  <c r="AN273" i="11"/>
  <c r="AO273" i="11"/>
  <c r="AP273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J272" i="11"/>
  <c r="AK272" i="11"/>
  <c r="AL272" i="11"/>
  <c r="AM272" i="11"/>
  <c r="AN272" i="11"/>
  <c r="AO272" i="11"/>
  <c r="AP272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J271" i="11"/>
  <c r="AK271" i="11"/>
  <c r="AL271" i="11"/>
  <c r="AM271" i="11"/>
  <c r="AN271" i="11"/>
  <c r="AO271" i="11"/>
  <c r="AP271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J270" i="11"/>
  <c r="AK270" i="11"/>
  <c r="AL270" i="11"/>
  <c r="AM270" i="11"/>
  <c r="AN270" i="11"/>
  <c r="AO270" i="11"/>
  <c r="AP270" i="11"/>
  <c r="S269" i="11" l="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J269" i="11"/>
  <c r="AK269" i="11"/>
  <c r="AL269" i="11"/>
  <c r="AM269" i="11"/>
  <c r="AN269" i="11"/>
  <c r="AO269" i="11"/>
  <c r="AP269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J268" i="11"/>
  <c r="AK268" i="11"/>
  <c r="AL268" i="11"/>
  <c r="AM268" i="11"/>
  <c r="AN268" i="11"/>
  <c r="AO268" i="11"/>
  <c r="AP268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J267" i="11"/>
  <c r="AK267" i="11"/>
  <c r="AL267" i="11"/>
  <c r="AM267" i="11"/>
  <c r="AN267" i="11"/>
  <c r="AO267" i="11"/>
  <c r="AP267" i="11"/>
  <c r="S266" i="11" l="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J266" i="11"/>
  <c r="AK266" i="11"/>
  <c r="AL266" i="11"/>
  <c r="AM266" i="11"/>
  <c r="AN266" i="11"/>
  <c r="AO266" i="11"/>
  <c r="AP266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J265" i="11"/>
  <c r="AK265" i="11"/>
  <c r="AL265" i="11"/>
  <c r="AM265" i="11"/>
  <c r="AN265" i="11"/>
  <c r="AO265" i="11"/>
  <c r="AP265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J264" i="11"/>
  <c r="AK264" i="11"/>
  <c r="AL264" i="11"/>
  <c r="AM264" i="11"/>
  <c r="AN264" i="11"/>
  <c r="AO264" i="11"/>
  <c r="AP264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J263" i="11"/>
  <c r="AK263" i="11"/>
  <c r="AL263" i="11"/>
  <c r="AM263" i="11"/>
  <c r="AN263" i="11"/>
  <c r="AO263" i="11"/>
  <c r="AP263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J262" i="11"/>
  <c r="AK262" i="11"/>
  <c r="AL262" i="11"/>
  <c r="AM262" i="11"/>
  <c r="AN262" i="11"/>
  <c r="AO262" i="11"/>
  <c r="AP262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J261" i="11"/>
  <c r="AK261" i="11"/>
  <c r="AL261" i="11"/>
  <c r="AM261" i="11"/>
  <c r="AN261" i="11"/>
  <c r="AO261" i="11"/>
  <c r="AP261" i="11"/>
  <c r="S260" i="11" l="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J260" i="11"/>
  <c r="AK260" i="11"/>
  <c r="AL260" i="11"/>
  <c r="AM260" i="11"/>
  <c r="AN260" i="11"/>
  <c r="AO260" i="11"/>
  <c r="AP260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J259" i="11"/>
  <c r="AK259" i="11"/>
  <c r="AL259" i="11"/>
  <c r="AM259" i="11"/>
  <c r="AN259" i="11"/>
  <c r="AO259" i="11"/>
  <c r="AP259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J258" i="11"/>
  <c r="AK258" i="11"/>
  <c r="AL258" i="11"/>
  <c r="AM258" i="11"/>
  <c r="AN258" i="11"/>
  <c r="AO258" i="11"/>
  <c r="AP258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J257" i="11"/>
  <c r="AK257" i="11"/>
  <c r="AL257" i="11"/>
  <c r="AM257" i="11"/>
  <c r="AN257" i="11"/>
  <c r="AO257" i="11"/>
  <c r="AP257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J256" i="11"/>
  <c r="AK256" i="11"/>
  <c r="AL256" i="11"/>
  <c r="AM256" i="11"/>
  <c r="AN256" i="11"/>
  <c r="AO256" i="11"/>
  <c r="AP256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J255" i="11"/>
  <c r="AK255" i="11"/>
  <c r="AL255" i="11"/>
  <c r="AM255" i="11"/>
  <c r="AN255" i="11"/>
  <c r="AO255" i="11"/>
  <c r="AP255" i="11"/>
  <c r="S254" i="11" l="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J254" i="11"/>
  <c r="AK254" i="11"/>
  <c r="AL254" i="11"/>
  <c r="AM254" i="11"/>
  <c r="AN254" i="11"/>
  <c r="AO254" i="11"/>
  <c r="AP254" i="11"/>
  <c r="W253" i="11"/>
  <c r="X253" i="11"/>
  <c r="S253" i="11"/>
  <c r="T253" i="11"/>
  <c r="U253" i="11"/>
  <c r="V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J253" i="11"/>
  <c r="AK253" i="11"/>
  <c r="AL253" i="11"/>
  <c r="AM253" i="11"/>
  <c r="AN253" i="11"/>
  <c r="AO253" i="11"/>
  <c r="AP253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J252" i="11"/>
  <c r="AK252" i="11"/>
  <c r="AL252" i="11"/>
  <c r="AM252" i="11"/>
  <c r="AN252" i="11"/>
  <c r="AO252" i="11"/>
  <c r="AP252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J251" i="11"/>
  <c r="AK251" i="11"/>
  <c r="AL251" i="11"/>
  <c r="AM251" i="11"/>
  <c r="AN251" i="11"/>
  <c r="AO251" i="11"/>
  <c r="AP251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P75" i="11"/>
  <c r="S250" i="11"/>
  <c r="S249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J250" i="11"/>
  <c r="AK250" i="11"/>
  <c r="AL250" i="11"/>
  <c r="AM250" i="11"/>
  <c r="AN250" i="11"/>
  <c r="AO250" i="11"/>
  <c r="AP250" i="11"/>
  <c r="T249" i="11"/>
  <c r="AP249" i="11"/>
  <c r="AO249" i="11"/>
  <c r="AN249" i="11"/>
  <c r="AM249" i="11"/>
  <c r="AL249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J236" i="11"/>
  <c r="AK236" i="11"/>
  <c r="AL236" i="11"/>
  <c r="AM236" i="11"/>
  <c r="AN236" i="11"/>
  <c r="AO236" i="11"/>
  <c r="AP236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J235" i="11"/>
  <c r="AK235" i="11"/>
  <c r="AL235" i="11"/>
  <c r="AM235" i="11"/>
  <c r="AN235" i="11"/>
  <c r="AO235" i="11"/>
  <c r="AP235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J234" i="11"/>
  <c r="AK234" i="11"/>
  <c r="AL234" i="11"/>
  <c r="AM234" i="11"/>
  <c r="AN234" i="11"/>
  <c r="AO234" i="11"/>
  <c r="AP234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J233" i="11"/>
  <c r="AK233" i="11"/>
  <c r="AL233" i="11"/>
  <c r="AM233" i="11"/>
  <c r="AN233" i="11"/>
  <c r="AO233" i="11"/>
  <c r="AP233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J232" i="11"/>
  <c r="AK232" i="11"/>
  <c r="AL232" i="11"/>
  <c r="AM232" i="11"/>
  <c r="AN232" i="11"/>
  <c r="AO232" i="11"/>
  <c r="AP232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J231" i="11"/>
  <c r="AK231" i="11"/>
  <c r="AL231" i="11"/>
  <c r="AM231" i="11"/>
  <c r="AN231" i="11"/>
  <c r="AO231" i="11"/>
  <c r="AP231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J230" i="11"/>
  <c r="AK230" i="11"/>
  <c r="AL230" i="11"/>
  <c r="AM230" i="11"/>
  <c r="AN230" i="11"/>
  <c r="AO230" i="11"/>
  <c r="AP230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J229" i="11"/>
  <c r="AK229" i="11"/>
  <c r="AL229" i="11"/>
  <c r="AM229" i="11"/>
  <c r="AN229" i="11"/>
  <c r="AO229" i="11"/>
  <c r="AP229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J228" i="11"/>
  <c r="AK228" i="11"/>
  <c r="AL228" i="11"/>
  <c r="AM228" i="11"/>
  <c r="AN228" i="11"/>
  <c r="AO228" i="11"/>
  <c r="AP228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J227" i="11"/>
  <c r="AK227" i="11"/>
  <c r="AL227" i="11"/>
  <c r="AM227" i="11"/>
  <c r="AN227" i="11"/>
  <c r="AO227" i="11"/>
  <c r="AP227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J226" i="11"/>
  <c r="AK226" i="11"/>
  <c r="AL226" i="11"/>
  <c r="AM226" i="11"/>
  <c r="AN226" i="11"/>
  <c r="AO226" i="11"/>
  <c r="AP226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J225" i="11"/>
  <c r="AK225" i="11"/>
  <c r="AL225" i="11"/>
  <c r="AM225" i="11"/>
  <c r="AN225" i="11"/>
  <c r="AO225" i="11"/>
  <c r="AP225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J224" i="11"/>
  <c r="AK224" i="11"/>
  <c r="AL224" i="11"/>
  <c r="AM224" i="11"/>
  <c r="AN224" i="11"/>
  <c r="AO224" i="11"/>
  <c r="AP224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J221" i="11"/>
  <c r="AK221" i="11"/>
  <c r="AL221" i="11"/>
  <c r="AM221" i="11"/>
  <c r="AN221" i="11"/>
  <c r="AO221" i="11"/>
  <c r="AP221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J222" i="11"/>
  <c r="AK222" i="11"/>
  <c r="AL222" i="11"/>
  <c r="AM222" i="11"/>
  <c r="AN222" i="11"/>
  <c r="AO222" i="11"/>
  <c r="AP222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J223" i="11"/>
  <c r="AK223" i="11"/>
  <c r="AL223" i="11"/>
  <c r="AM223" i="11"/>
  <c r="AN223" i="11"/>
  <c r="AO223" i="11"/>
  <c r="AP223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J220" i="11"/>
  <c r="AK220" i="11"/>
  <c r="AL220" i="11"/>
  <c r="AM220" i="11"/>
  <c r="AN220" i="11"/>
  <c r="AO220" i="11"/>
  <c r="AP220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J219" i="11"/>
  <c r="AK219" i="11"/>
  <c r="AL219" i="11"/>
  <c r="AM219" i="11"/>
  <c r="AN219" i="11"/>
  <c r="AO219" i="11"/>
  <c r="AP219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J218" i="11"/>
  <c r="AK218" i="11"/>
  <c r="AL218" i="11"/>
  <c r="AM218" i="11"/>
  <c r="AN218" i="11"/>
  <c r="AO218" i="11"/>
  <c r="AP218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J217" i="11"/>
  <c r="AK217" i="11"/>
  <c r="AL217" i="11"/>
  <c r="AM217" i="11"/>
  <c r="AN217" i="11"/>
  <c r="AO217" i="11"/>
  <c r="AP217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J216" i="11"/>
  <c r="AK216" i="11"/>
  <c r="AL216" i="11"/>
  <c r="AM216" i="11"/>
  <c r="AN216" i="11"/>
  <c r="AO216" i="11"/>
  <c r="AP216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J215" i="11"/>
  <c r="AK215" i="11"/>
  <c r="AL215" i="11"/>
  <c r="AM215" i="11"/>
  <c r="AN215" i="11"/>
  <c r="AO215" i="11"/>
  <c r="AP215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J214" i="11"/>
  <c r="AK214" i="11"/>
  <c r="AL214" i="11"/>
  <c r="AM214" i="11"/>
  <c r="AN214" i="11"/>
  <c r="AO214" i="11"/>
  <c r="AP214" i="11"/>
  <c r="T56" i="11"/>
  <c r="S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J213" i="11"/>
  <c r="AK213" i="11"/>
  <c r="AL213" i="11"/>
  <c r="AM213" i="11"/>
  <c r="AN213" i="11"/>
  <c r="AO213" i="11"/>
  <c r="AP213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J212" i="11"/>
  <c r="AK212" i="11"/>
  <c r="AL212" i="11"/>
  <c r="AM212" i="11"/>
  <c r="AN212" i="11"/>
  <c r="AO212" i="11"/>
  <c r="AP212" i="11"/>
  <c r="T211" i="11"/>
  <c r="S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J211" i="11"/>
  <c r="AK211" i="11"/>
  <c r="AL211" i="11"/>
  <c r="AM211" i="11"/>
  <c r="AN211" i="11"/>
  <c r="AO211" i="11"/>
  <c r="AP211" i="11"/>
  <c r="T210" i="11"/>
  <c r="S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J210" i="11"/>
  <c r="AK210" i="11"/>
  <c r="AL210" i="11"/>
  <c r="AM210" i="11"/>
  <c r="AN210" i="11"/>
  <c r="AO210" i="11"/>
  <c r="AP210" i="11"/>
  <c r="T209" i="11"/>
  <c r="S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J209" i="11"/>
  <c r="AK209" i="11"/>
  <c r="AL209" i="11"/>
  <c r="AM209" i="11"/>
  <c r="AN209" i="11"/>
  <c r="AO209" i="11"/>
  <c r="AP209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J208" i="11"/>
  <c r="AK208" i="11"/>
  <c r="AL208" i="11"/>
  <c r="AM208" i="11"/>
  <c r="AN208" i="11"/>
  <c r="AO208" i="11"/>
  <c r="AP208" i="11"/>
  <c r="T207" i="11"/>
  <c r="S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J207" i="11"/>
  <c r="AK207" i="11"/>
  <c r="AL207" i="11"/>
  <c r="AM207" i="11"/>
  <c r="AN207" i="11"/>
  <c r="AO207" i="11"/>
  <c r="AP207" i="11"/>
  <c r="T206" i="11"/>
  <c r="S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J206" i="11"/>
  <c r="AK206" i="11"/>
  <c r="AL206" i="11"/>
  <c r="AM206" i="11"/>
  <c r="AN206" i="11"/>
  <c r="AO206" i="11"/>
  <c r="AP206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J205" i="11"/>
  <c r="AK205" i="11"/>
  <c r="AL205" i="11"/>
  <c r="AM205" i="11"/>
  <c r="AN205" i="11"/>
  <c r="AO205" i="11"/>
  <c r="AP205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J204" i="11"/>
  <c r="AK204" i="11"/>
  <c r="AL204" i="11"/>
  <c r="AM204" i="11"/>
  <c r="AN204" i="11"/>
  <c r="AO204" i="11"/>
  <c r="AP204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J203" i="11"/>
  <c r="AK203" i="11"/>
  <c r="AL203" i="11"/>
  <c r="AM203" i="11"/>
  <c r="AN203" i="11"/>
  <c r="AO203" i="11"/>
  <c r="AP203" i="11"/>
  <c r="T202" i="11"/>
  <c r="S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J202" i="11"/>
  <c r="AK202" i="11"/>
  <c r="AL202" i="11"/>
  <c r="AM202" i="11"/>
  <c r="AN202" i="11"/>
  <c r="AO202" i="11"/>
  <c r="AP202" i="11"/>
  <c r="T201" i="11"/>
  <c r="S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J201" i="11"/>
  <c r="AK201" i="11"/>
  <c r="AL201" i="11"/>
  <c r="AM201" i="11"/>
  <c r="AN201" i="11"/>
  <c r="AO201" i="11"/>
  <c r="AP201" i="11"/>
  <c r="T200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J199" i="11"/>
  <c r="AK199" i="11"/>
  <c r="AL199" i="11"/>
  <c r="AM199" i="11"/>
  <c r="AN199" i="11"/>
  <c r="AO199" i="11"/>
  <c r="AP199" i="11"/>
  <c r="S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J200" i="11"/>
  <c r="AK200" i="11"/>
  <c r="AL200" i="11"/>
  <c r="AM200" i="11"/>
  <c r="AN200" i="11"/>
  <c r="AO200" i="11"/>
  <c r="AP200" i="11"/>
  <c r="T198" i="11"/>
  <c r="S198" i="11"/>
  <c r="AP198" i="11"/>
  <c r="AO198" i="11"/>
  <c r="AN198" i="11"/>
  <c r="AM198" i="11"/>
  <c r="AL198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7" i="11"/>
  <c r="S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J197" i="11"/>
  <c r="AK197" i="11"/>
  <c r="AL197" i="11"/>
  <c r="AM197" i="11"/>
  <c r="AN197" i="11"/>
  <c r="AO197" i="11"/>
  <c r="AP197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J196" i="11"/>
  <c r="AK196" i="11"/>
  <c r="AL196" i="11"/>
  <c r="AM196" i="11"/>
  <c r="AN196" i="11"/>
  <c r="AO196" i="11"/>
  <c r="AP196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J195" i="11"/>
  <c r="AK195" i="11"/>
  <c r="AL195" i="11"/>
  <c r="AM195" i="11"/>
  <c r="AN195" i="11"/>
  <c r="AO195" i="11"/>
  <c r="AP195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J194" i="11"/>
  <c r="AK194" i="11"/>
  <c r="AL194" i="11"/>
  <c r="AM194" i="11"/>
  <c r="AN194" i="11"/>
  <c r="AO194" i="11"/>
  <c r="AP194" i="11"/>
  <c r="T193" i="11"/>
  <c r="S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J193" i="11"/>
  <c r="AK193" i="11"/>
  <c r="AL193" i="11"/>
  <c r="AM193" i="11"/>
  <c r="AN193" i="11"/>
  <c r="AO193" i="11"/>
  <c r="AP193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J192" i="11"/>
  <c r="AK192" i="11"/>
  <c r="AL192" i="11"/>
  <c r="AM192" i="11"/>
  <c r="AN192" i="11"/>
  <c r="AO192" i="11"/>
  <c r="AP192" i="11"/>
  <c r="X191" i="11"/>
  <c r="V191" i="11"/>
  <c r="T191" i="11"/>
  <c r="S191" i="11"/>
  <c r="U191" i="11"/>
  <c r="W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J191" i="11"/>
  <c r="AK191" i="11"/>
  <c r="AL191" i="11"/>
  <c r="AM191" i="11"/>
  <c r="AN191" i="11"/>
  <c r="AO191" i="11"/>
  <c r="AP191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J190" i="11"/>
  <c r="AK190" i="11"/>
  <c r="AL190" i="11"/>
  <c r="AM190" i="11"/>
  <c r="AN190" i="11"/>
  <c r="AO190" i="11"/>
  <c r="AP190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J189" i="11"/>
  <c r="AK189" i="11"/>
  <c r="AL189" i="11"/>
  <c r="AM189" i="11"/>
  <c r="AN189" i="11"/>
  <c r="AO189" i="11"/>
  <c r="AP189" i="11"/>
  <c r="V188" i="11"/>
  <c r="T188" i="11"/>
  <c r="S188" i="11"/>
  <c r="U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J188" i="11"/>
  <c r="AK188" i="11"/>
  <c r="AL188" i="11"/>
  <c r="AM188" i="11"/>
  <c r="AN188" i="11"/>
  <c r="AO188" i="11"/>
  <c r="AP188" i="11"/>
  <c r="T140" i="11"/>
  <c r="V140" i="11"/>
  <c r="S140" i="11"/>
  <c r="U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J140" i="11"/>
  <c r="AK140" i="11"/>
  <c r="AL140" i="11"/>
  <c r="AM140" i="11"/>
  <c r="AN140" i="11"/>
  <c r="AO140" i="11"/>
  <c r="AP140" i="11"/>
  <c r="V187" i="11"/>
  <c r="T187" i="11"/>
  <c r="S187" i="11"/>
  <c r="U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J187" i="11"/>
  <c r="AK187" i="11"/>
  <c r="AL187" i="11"/>
  <c r="AM187" i="11"/>
  <c r="AN187" i="11"/>
  <c r="AO187" i="11"/>
  <c r="AP187" i="11"/>
  <c r="T186" i="11"/>
  <c r="S186" i="11"/>
  <c r="V186" i="11"/>
  <c r="U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J186" i="11"/>
  <c r="AK186" i="11"/>
  <c r="AL186" i="11"/>
  <c r="AM186" i="11"/>
  <c r="AN186" i="11"/>
  <c r="AO186" i="11"/>
  <c r="AP186" i="11"/>
  <c r="AF185" i="11"/>
  <c r="AD185" i="11"/>
  <c r="AB185" i="11"/>
  <c r="Z185" i="11"/>
  <c r="X185" i="11"/>
  <c r="V185" i="11"/>
  <c r="T185" i="11"/>
  <c r="S185" i="11"/>
  <c r="U185" i="11"/>
  <c r="W185" i="11"/>
  <c r="Y185" i="11"/>
  <c r="AA185" i="11"/>
  <c r="AC185" i="11"/>
  <c r="AE185" i="11"/>
  <c r="AG185" i="11"/>
  <c r="AH185" i="11"/>
  <c r="AI185" i="11"/>
  <c r="AJ185" i="11"/>
  <c r="AK185" i="11"/>
  <c r="AL185" i="11"/>
  <c r="AM185" i="11"/>
  <c r="AN185" i="11"/>
  <c r="AO185" i="11"/>
  <c r="AP185" i="11"/>
  <c r="T184" i="11"/>
  <c r="S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J184" i="11"/>
  <c r="AK184" i="11"/>
  <c r="AL184" i="11"/>
  <c r="AM184" i="11"/>
  <c r="AN184" i="11"/>
  <c r="AO184" i="11"/>
  <c r="AP184" i="11"/>
  <c r="AH183" i="11"/>
  <c r="AF183" i="11"/>
  <c r="AD183" i="11"/>
  <c r="AB183" i="11"/>
  <c r="Z183" i="11"/>
  <c r="X183" i="11"/>
  <c r="V183" i="11"/>
  <c r="T183" i="11"/>
  <c r="S183" i="11"/>
  <c r="U183" i="11"/>
  <c r="W183" i="11"/>
  <c r="Y183" i="11"/>
  <c r="AA183" i="11"/>
  <c r="AC183" i="11"/>
  <c r="AE183" i="11"/>
  <c r="AG183" i="11"/>
  <c r="AI183" i="11"/>
  <c r="AJ183" i="11"/>
  <c r="AK183" i="11"/>
  <c r="AL183" i="11"/>
  <c r="AM183" i="11"/>
  <c r="AN183" i="11"/>
  <c r="AO183" i="11"/>
  <c r="AP183" i="11"/>
  <c r="Z182" i="11"/>
  <c r="X182" i="11"/>
  <c r="V182" i="11"/>
  <c r="T182" i="11"/>
  <c r="S182" i="11"/>
  <c r="U182" i="11"/>
  <c r="W182" i="11"/>
  <c r="Y182" i="11"/>
  <c r="AA182" i="11"/>
  <c r="AB182" i="11"/>
  <c r="AC182" i="11"/>
  <c r="AD182" i="11"/>
  <c r="AE182" i="11"/>
  <c r="AF182" i="11"/>
  <c r="AG182" i="11"/>
  <c r="AH182" i="11"/>
  <c r="AI182" i="11"/>
  <c r="AJ182" i="11"/>
  <c r="AK182" i="11"/>
  <c r="AL182" i="11"/>
  <c r="AM182" i="11"/>
  <c r="AN182" i="11"/>
  <c r="AO182" i="11"/>
  <c r="AP182" i="11"/>
  <c r="T53" i="11"/>
  <c r="S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T14" i="11"/>
  <c r="T13" i="11"/>
  <c r="S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J180" i="11"/>
  <c r="AK180" i="11"/>
  <c r="AL180" i="11"/>
  <c r="AM180" i="11"/>
  <c r="AN180" i="11"/>
  <c r="AO180" i="11"/>
  <c r="AP180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J181" i="11"/>
  <c r="AK181" i="11"/>
  <c r="AL181" i="11"/>
  <c r="AM181" i="11"/>
  <c r="AN181" i="11"/>
  <c r="AO181" i="11"/>
  <c r="AP181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J179" i="11"/>
  <c r="AK179" i="11"/>
  <c r="AL179" i="11"/>
  <c r="AM179" i="11"/>
  <c r="AN179" i="11"/>
  <c r="AO179" i="11"/>
  <c r="AP179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J177" i="11"/>
  <c r="AK177" i="11"/>
  <c r="AL177" i="11"/>
  <c r="AM177" i="11"/>
  <c r="AN177" i="11"/>
  <c r="AO177" i="11"/>
  <c r="AP177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J178" i="11"/>
  <c r="AK178" i="11"/>
  <c r="AL178" i="11"/>
  <c r="AM178" i="11"/>
  <c r="AN178" i="11"/>
  <c r="AO178" i="11"/>
  <c r="AP178" i="11"/>
  <c r="AP176" i="11"/>
  <c r="AO176" i="11"/>
  <c r="AN176" i="11"/>
  <c r="AM176" i="11"/>
  <c r="AL176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AP175" i="11"/>
  <c r="AO175" i="11"/>
  <c r="AN175" i="11"/>
  <c r="AM175" i="11"/>
  <c r="AL175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AP174" i="11"/>
  <c r="AO174" i="11"/>
  <c r="AN174" i="11"/>
  <c r="AM174" i="11"/>
  <c r="AL174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AP172" i="11"/>
  <c r="AO172" i="11"/>
  <c r="AN172" i="11"/>
  <c r="AM172" i="11"/>
  <c r="AL172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AP171" i="11"/>
  <c r="AO171" i="11"/>
  <c r="AN171" i="11"/>
  <c r="AM171" i="11"/>
  <c r="AL171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AP170" i="11"/>
  <c r="AO170" i="11"/>
  <c r="AN170" i="11"/>
  <c r="AM170" i="11"/>
  <c r="AL170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AP169" i="11"/>
  <c r="AO169" i="11"/>
  <c r="AN169" i="11"/>
  <c r="AM169" i="11"/>
  <c r="AL169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AP168" i="11"/>
  <c r="AO168" i="11"/>
  <c r="AN168" i="11"/>
  <c r="AM168" i="11"/>
  <c r="AL168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AP167" i="11"/>
  <c r="AO167" i="11"/>
  <c r="AN167" i="11"/>
  <c r="AM167" i="11"/>
  <c r="AL167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AP166" i="11"/>
  <c r="AO166" i="11"/>
  <c r="AN166" i="11"/>
  <c r="AM166" i="11"/>
  <c r="AL166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AP165" i="11"/>
  <c r="AO165" i="11"/>
  <c r="AN165" i="11"/>
  <c r="AM165" i="11"/>
  <c r="AL165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AP164" i="11"/>
  <c r="AO164" i="11"/>
  <c r="AN164" i="11"/>
  <c r="AM164" i="11"/>
  <c r="AL164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AP163" i="11"/>
  <c r="AO163" i="11"/>
  <c r="AN163" i="11"/>
  <c r="AM163" i="11"/>
  <c r="AL163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AP162" i="11"/>
  <c r="AO162" i="11"/>
  <c r="AN162" i="11"/>
  <c r="AM162" i="11"/>
  <c r="AL162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AP160" i="11"/>
  <c r="AO160" i="11"/>
  <c r="AN160" i="11"/>
  <c r="AM160" i="11"/>
  <c r="AL160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AP159" i="11"/>
  <c r="AO159" i="11"/>
  <c r="AN159" i="11"/>
  <c r="AM159" i="11"/>
  <c r="AL159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AP158" i="11"/>
  <c r="AO158" i="11"/>
  <c r="AN158" i="11"/>
  <c r="AM158" i="11"/>
  <c r="AL158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AP157" i="11"/>
  <c r="AO157" i="11"/>
  <c r="AN157" i="11"/>
  <c r="AM157" i="11"/>
  <c r="AL157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AP156" i="11"/>
  <c r="AO156" i="11"/>
  <c r="AN156" i="11"/>
  <c r="AM156" i="11"/>
  <c r="AL156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AP155" i="11"/>
  <c r="AO155" i="11"/>
  <c r="AN155" i="11"/>
  <c r="AM155" i="11"/>
  <c r="AL155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AP154" i="11"/>
  <c r="AO154" i="11"/>
  <c r="AN154" i="11"/>
  <c r="AM154" i="11"/>
  <c r="AL154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AP153" i="11"/>
  <c r="AO153" i="11"/>
  <c r="AN153" i="11"/>
  <c r="AM153" i="11"/>
  <c r="AL153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AP152" i="11"/>
  <c r="AO152" i="11"/>
  <c r="AN152" i="11"/>
  <c r="AM152" i="11"/>
  <c r="AL152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AP151" i="11"/>
  <c r="AO151" i="11"/>
  <c r="AN151" i="11"/>
  <c r="AM151" i="11"/>
  <c r="AL151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AP150" i="11"/>
  <c r="AO150" i="11"/>
  <c r="AN150" i="11"/>
  <c r="AM150" i="11"/>
  <c r="AL150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AP149" i="11"/>
  <c r="AO149" i="11"/>
  <c r="AN149" i="11"/>
  <c r="AM149" i="11"/>
  <c r="AL149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AP148" i="11"/>
  <c r="AO148" i="11"/>
  <c r="AN148" i="11"/>
  <c r="AM148" i="11"/>
  <c r="AL148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AP147" i="11"/>
  <c r="AO147" i="11"/>
  <c r="AN147" i="11"/>
  <c r="AM147" i="11"/>
  <c r="AL147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AP146" i="11"/>
  <c r="AO146" i="11"/>
  <c r="AN146" i="11"/>
  <c r="AM146" i="11"/>
  <c r="AL146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AP145" i="11"/>
  <c r="AO145" i="11"/>
  <c r="AN145" i="11"/>
  <c r="AM145" i="11"/>
  <c r="AL145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AP144" i="11"/>
  <c r="AO144" i="11"/>
  <c r="AN144" i="11"/>
  <c r="AM144" i="11"/>
  <c r="AL144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AP143" i="11"/>
  <c r="AO143" i="11"/>
  <c r="AN143" i="11"/>
  <c r="AM143" i="11"/>
  <c r="AL143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AP142" i="11"/>
  <c r="AO142" i="11"/>
  <c r="AN142" i="11"/>
  <c r="AM142" i="11"/>
  <c r="AL142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AP141" i="11"/>
  <c r="AO141" i="11"/>
  <c r="AN141" i="11"/>
  <c r="AM141" i="11"/>
  <c r="AL141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AP139" i="11"/>
  <c r="AO139" i="11"/>
  <c r="AN139" i="11"/>
  <c r="AM139" i="11"/>
  <c r="AL139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AP138" i="11"/>
  <c r="AO138" i="11"/>
  <c r="AN138" i="11"/>
  <c r="AM138" i="11"/>
  <c r="AL138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AP137" i="11"/>
  <c r="AO137" i="11"/>
  <c r="AN137" i="11"/>
  <c r="AM137" i="11"/>
  <c r="AL137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AP136" i="11"/>
  <c r="AO136" i="11"/>
  <c r="AN136" i="11"/>
  <c r="AM136" i="11"/>
  <c r="AL136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AP135" i="11"/>
  <c r="AO135" i="11"/>
  <c r="AN135" i="11"/>
  <c r="AM135" i="11"/>
  <c r="AL135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AP134" i="11"/>
  <c r="AO134" i="11"/>
  <c r="AN134" i="11"/>
  <c r="AM134" i="11"/>
  <c r="AL134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AP133" i="11"/>
  <c r="AO133" i="11"/>
  <c r="AN133" i="11"/>
  <c r="AM133" i="11"/>
  <c r="AL133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AP132" i="11"/>
  <c r="AO132" i="11"/>
  <c r="AN132" i="11"/>
  <c r="AM132" i="11"/>
  <c r="AL132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AP131" i="11"/>
  <c r="AO131" i="11"/>
  <c r="AN131" i="11"/>
  <c r="AM131" i="11"/>
  <c r="AL131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AP130" i="11"/>
  <c r="AO130" i="11"/>
  <c r="AN130" i="11"/>
  <c r="AM130" i="11"/>
  <c r="AL130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AP128" i="11"/>
  <c r="AO128" i="11"/>
  <c r="AN128" i="11"/>
  <c r="AM128" i="11"/>
  <c r="AL128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AP127" i="11"/>
  <c r="AO127" i="11"/>
  <c r="AN127" i="11"/>
  <c r="AM127" i="11"/>
  <c r="AL127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AP126" i="11"/>
  <c r="AO126" i="11"/>
  <c r="AN126" i="11"/>
  <c r="AM126" i="11"/>
  <c r="AL126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AP125" i="11"/>
  <c r="AO125" i="11"/>
  <c r="AN125" i="11"/>
  <c r="AM125" i="11"/>
  <c r="AL125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AP124" i="11"/>
  <c r="AO124" i="11"/>
  <c r="AN124" i="1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AP123" i="11"/>
  <c r="AO123" i="11"/>
  <c r="AN123" i="11"/>
  <c r="AM123" i="11"/>
  <c r="AL123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AP122" i="11"/>
  <c r="AO122" i="11"/>
  <c r="AN122" i="11"/>
  <c r="AM122" i="11"/>
  <c r="AL122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AP121" i="11"/>
  <c r="AO121" i="11"/>
  <c r="AN121" i="11"/>
  <c r="AM121" i="11"/>
  <c r="AL121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AP120" i="11"/>
  <c r="AO120" i="11"/>
  <c r="AN120" i="11"/>
  <c r="AM120" i="11"/>
  <c r="AL120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AP119" i="11"/>
  <c r="AO119" i="11"/>
  <c r="AN119" i="11"/>
  <c r="AM119" i="11"/>
  <c r="AL119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AP118" i="11"/>
  <c r="AO118" i="11"/>
  <c r="AN118" i="11"/>
  <c r="AM118" i="11"/>
  <c r="AL118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AP117" i="11"/>
  <c r="AO117" i="11"/>
  <c r="AN117" i="11"/>
  <c r="AM117" i="1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AP116" i="11"/>
  <c r="AO116" i="11"/>
  <c r="AN116" i="11"/>
  <c r="AM116" i="11"/>
  <c r="AL116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AP115" i="11"/>
  <c r="AO115" i="11"/>
  <c r="AN115" i="11"/>
  <c r="AM115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AP114" i="11"/>
  <c r="AO114" i="11"/>
  <c r="AN114" i="11"/>
  <c r="AM114" i="11"/>
  <c r="AL114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AP113" i="11"/>
  <c r="AO113" i="11"/>
  <c r="AN113" i="11"/>
  <c r="AM113" i="11"/>
  <c r="AL113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AP112" i="11"/>
  <c r="AO112" i="11"/>
  <c r="AN112" i="11"/>
  <c r="AM112" i="11"/>
  <c r="AL112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AP111" i="11"/>
  <c r="AO111" i="11"/>
  <c r="AN111" i="11"/>
  <c r="AM111" i="11"/>
  <c r="AL111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AP106" i="11"/>
  <c r="AO106" i="11"/>
  <c r="AN106" i="11"/>
  <c r="AM106" i="11"/>
  <c r="AL106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AP104" i="11"/>
  <c r="AO104" i="11"/>
  <c r="AN104" i="11"/>
  <c r="AM104" i="11"/>
  <c r="AL104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AP102" i="11"/>
  <c r="AO102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AP100" i="11"/>
  <c r="AO100" i="11"/>
  <c r="AN100" i="11"/>
  <c r="AM100" i="11"/>
  <c r="AL100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AP98" i="11"/>
  <c r="AO98" i="11"/>
  <c r="AN98" i="11"/>
  <c r="AM98" i="11"/>
  <c r="AL98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AP96" i="11"/>
  <c r="AO96" i="11"/>
  <c r="AN96" i="11"/>
  <c r="AM96" i="11"/>
  <c r="AL96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AP95" i="11"/>
  <c r="AO95" i="11"/>
  <c r="AN95" i="11"/>
  <c r="AM95" i="11"/>
  <c r="AL95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AP94" i="11"/>
  <c r="AO94" i="11"/>
  <c r="AN94" i="11"/>
  <c r="AM94" i="11"/>
  <c r="AL94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AP93" i="11"/>
  <c r="AO93" i="11"/>
  <c r="AN93" i="11"/>
  <c r="AM93" i="11"/>
  <c r="AL93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AP92" i="11"/>
  <c r="AO92" i="11"/>
  <c r="AN92" i="11"/>
  <c r="AM92" i="11"/>
  <c r="AL92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AP91" i="11"/>
  <c r="AO91" i="11"/>
  <c r="AN91" i="11"/>
  <c r="AM91" i="11"/>
  <c r="AL91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AP90" i="11"/>
  <c r="AO90" i="11"/>
  <c r="AN90" i="11"/>
  <c r="AM90" i="11"/>
  <c r="AL90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AP88" i="11"/>
  <c r="AO88" i="11"/>
  <c r="AN88" i="11"/>
  <c r="AM88" i="11"/>
  <c r="AL88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AP87" i="11"/>
  <c r="AO87" i="11"/>
  <c r="AN87" i="11"/>
  <c r="AM87" i="11"/>
  <c r="AL87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AP86" i="11"/>
  <c r="AO86" i="11"/>
  <c r="AN86" i="11"/>
  <c r="AM86" i="11"/>
  <c r="AL86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AP85" i="11"/>
  <c r="AO85" i="11"/>
  <c r="AN85" i="11"/>
  <c r="AM85" i="11"/>
  <c r="AL85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AP84" i="11"/>
  <c r="AO84" i="11"/>
  <c r="AN84" i="11"/>
  <c r="AM84" i="11"/>
  <c r="AL84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AP82" i="11"/>
  <c r="AO82" i="1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AP80" i="11"/>
  <c r="AO80" i="11"/>
  <c r="AN80" i="11"/>
  <c r="AM80" i="11"/>
  <c r="AL80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AP79" i="11"/>
  <c r="AO79" i="11"/>
  <c r="AN79" i="11"/>
  <c r="AM79" i="11"/>
  <c r="AL79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AP77" i="11"/>
  <c r="AO77" i="11"/>
  <c r="AN77" i="11"/>
  <c r="AM77" i="11"/>
  <c r="AL77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AP76" i="11"/>
  <c r="AO76" i="11"/>
  <c r="AN76" i="11"/>
  <c r="AM76" i="11"/>
  <c r="AL76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AP74" i="11"/>
  <c r="AO74" i="11"/>
  <c r="AN74" i="11"/>
  <c r="AM74" i="11"/>
  <c r="AL74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AP73" i="11"/>
  <c r="AO73" i="11"/>
  <c r="AN73" i="11"/>
  <c r="AM73" i="11"/>
  <c r="AL73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AP71" i="11"/>
  <c r="AO71" i="11"/>
  <c r="AN71" i="11"/>
  <c r="AM71" i="11"/>
  <c r="AL71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AP63" i="11"/>
  <c r="AO63" i="11"/>
  <c r="AN63" i="11"/>
  <c r="AM63" i="11"/>
  <c r="AL63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AP62" i="11"/>
  <c r="AO62" i="11"/>
  <c r="AN62" i="11"/>
  <c r="AM62" i="11"/>
  <c r="AL62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AP61" i="11"/>
  <c r="AO61" i="11"/>
  <c r="AN61" i="11"/>
  <c r="AM61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AP42" i="11"/>
  <c r="AO42" i="11"/>
  <c r="AN42" i="11"/>
  <c r="AM42" i="11"/>
  <c r="AL42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AP39" i="11"/>
  <c r="AO39" i="11"/>
  <c r="AN39" i="11"/>
  <c r="AM39" i="11"/>
  <c r="AL39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AP26" i="1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S13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</calcChain>
</file>

<file path=xl/sharedStrings.xml><?xml version="1.0" encoding="utf-8"?>
<sst xmlns="http://schemas.openxmlformats.org/spreadsheetml/2006/main" count="2649" uniqueCount="1549">
  <si>
    <t>FOLIO3 (PVT) LTD.</t>
  </si>
  <si>
    <t>KUWAIT PETROLEUM CORPORATION (FAR EAST) KSC</t>
  </si>
  <si>
    <t>Mahmood Ahmed</t>
  </si>
  <si>
    <t>m.ahmed@kpc.com.kw</t>
  </si>
  <si>
    <t>ECHO DIGITAL (PVT) LTD</t>
  </si>
  <si>
    <t>MOORE SHEKHA MUFTI</t>
  </si>
  <si>
    <t>HEALTHTEK (PVT.) LIMITED</t>
  </si>
  <si>
    <t>healthcare@samikhi.com</t>
  </si>
  <si>
    <t>AL BARAKA BANK (PAKISTAN) LIMITED</t>
  </si>
  <si>
    <t>TOYOTA CENTRAL MOTORS</t>
  </si>
  <si>
    <t>DUBAI ISLAMIC BANK PAKISTAN LIMITED</t>
  </si>
  <si>
    <t>NUTRX-HEALTH PRODUCTS</t>
  </si>
  <si>
    <t>ADEEL AHMED</t>
  </si>
  <si>
    <t>adeel.ahmed@nutrx.com</t>
  </si>
  <si>
    <t>Kashif Iqbal</t>
  </si>
  <si>
    <t>kashifakn@gmail.com</t>
  </si>
  <si>
    <t>PAXAR PAKISTAN (PRIVATE) LIMITED</t>
  </si>
  <si>
    <t>Asad Shah</t>
  </si>
  <si>
    <t>asadshah@esquare.com.pk</t>
  </si>
  <si>
    <t>Humna Altamash Yousuf</t>
  </si>
  <si>
    <t>AL-HAFI &amp; CO (PVT) LIMITED</t>
  </si>
  <si>
    <t>Mr. Kaleem Raza</t>
  </si>
  <si>
    <t>cfo@afleather.com</t>
  </si>
  <si>
    <t>AL RAHIM TEXTILE INDUSTRIES LIMITED</t>
  </si>
  <si>
    <t>Muhammad Abdul Naeem</t>
  </si>
  <si>
    <t>OCEAN NETWORK EXPRESS PAKISTAN (PRIVATE) LIMITED</t>
  </si>
  <si>
    <t>Muhammad Ikhwan Younas</t>
  </si>
  <si>
    <t>Farrukh Abbas</t>
  </si>
  <si>
    <t>farrukh.abbas@libertymillslimited.com</t>
  </si>
  <si>
    <t>STADIUM SERVICE STATION</t>
  </si>
  <si>
    <t>MASHKOOR AHMED</t>
  </si>
  <si>
    <t>stadiumservicestation@gmail.com</t>
  </si>
  <si>
    <t>HAROON OILS LIMITED</t>
  </si>
  <si>
    <t>Farhat Ullah Amiri</t>
  </si>
  <si>
    <t>farhatullahamiri@haroonoils.com</t>
  </si>
  <si>
    <t>JINNAH UNIVERSITY FOR WOMEN</t>
  </si>
  <si>
    <t>Sani Ahmed</t>
  </si>
  <si>
    <t>finance@juw.edu.pk</t>
  </si>
  <si>
    <t>sohail.hashmi@scilife.biz</t>
  </si>
  <si>
    <t>ROCK MARS INDUSTRIES PVT LIMITED</t>
  </si>
  <si>
    <t>ROWASKI MILL (PRIVATE) LIMITED</t>
  </si>
  <si>
    <t>Abdul Latif Brohi</t>
  </si>
  <si>
    <t>Tanweer Ahmed</t>
  </si>
  <si>
    <t>tanweer.ahmad@hakimsonsgroup.com</t>
  </si>
  <si>
    <t>AIV (PVT.) LIMITED</t>
  </si>
  <si>
    <t>STUDIO Q</t>
  </si>
  <si>
    <t>SAAD PIRZADA</t>
  </si>
  <si>
    <t>Muhammad Haseeb</t>
  </si>
  <si>
    <t>medicalhelp@tpi.com.pk</t>
  </si>
  <si>
    <t>M. Haris Baig</t>
  </si>
  <si>
    <t>haris.baig@azon.pn.com</t>
  </si>
  <si>
    <t>Nazir Ahmed</t>
  </si>
  <si>
    <t>nazir.ahmed@amna.com.pk</t>
  </si>
  <si>
    <t>Mr. Asad</t>
  </si>
  <si>
    <t>pechsociety@gmail.com</t>
  </si>
  <si>
    <t>Hasham Ghayas</t>
  </si>
  <si>
    <t>info@crescenticdigital.com</t>
  </si>
  <si>
    <t>asim@zegatron.com</t>
  </si>
  <si>
    <t>Sohaib Khan</t>
  </si>
  <si>
    <t>skhan@contour-software.com</t>
  </si>
  <si>
    <t>MEDZNTECH (PRIVATE) LIMITED</t>
  </si>
  <si>
    <t>Ayub Ismail</t>
  </si>
  <si>
    <t>ayub.ismail@medzntech.com</t>
  </si>
  <si>
    <t>Suman Kumari</t>
  </si>
  <si>
    <t>suman.kumari@vinicosmetics.pk</t>
  </si>
  <si>
    <t>Salman Khalid</t>
  </si>
  <si>
    <t>HUSSAIN INTERNATIONAL SERVICES PVT. LTD</t>
  </si>
  <si>
    <t>MARINE TERMINAL OPERATION SERVICES (PVT) LTD</t>
  </si>
  <si>
    <t>E SQUARE SERVICES (PRIVATE) LIMITED</t>
  </si>
  <si>
    <t>ITECKNOLOGI TRACKING SERVICES (PVT) LIMITED</t>
  </si>
  <si>
    <t>MUHAMMAD ASHRAF PRIVATE LIMITED</t>
  </si>
  <si>
    <t>IAMPLIFY CONSULTING SOLUTION (PVT) LTD</t>
  </si>
  <si>
    <t>SKYLINK DISTRIBUTION</t>
  </si>
  <si>
    <t>SLC METAL &amp; REFINING (PVT) LTD</t>
  </si>
  <si>
    <t>LIBERTY MILLS LIMITED</t>
  </si>
  <si>
    <t>SCILIFE PHARMA (PVT) LIMITED</t>
  </si>
  <si>
    <t>DIGITONICS LABS (PVT) LTD</t>
  </si>
  <si>
    <t>AXPULSE</t>
  </si>
  <si>
    <t>TECHNO-CONSULT INTERNATIONAL (PVT.) LIMITED</t>
  </si>
  <si>
    <t>HELIX PHARMA (PVT) LIMITED</t>
  </si>
  <si>
    <t>KARACHI DOWN SYNDROME PROGRAM</t>
  </si>
  <si>
    <t>AZON PHARMACEUTICALS &amp; NUTRITIONS (PVT) LIMITED</t>
  </si>
  <si>
    <t>AL HILAL SHARIAH ADVISORS (PVT.) LIMITED</t>
  </si>
  <si>
    <t>AMNA INDUSTRIES (PVT) LIMITED</t>
  </si>
  <si>
    <t>PAKISTAN EMPLOYEES COOPERATIVE HOUSING SOCIETY</t>
  </si>
  <si>
    <t>CRESCENTIC DIGITAL (PRIVATE) LIMITED</t>
  </si>
  <si>
    <t>PERIDOT PRODUCTS (PRIVATE) LIMITED</t>
  </si>
  <si>
    <t>ZEGATRON SMC (PVT) LIMITED</t>
  </si>
  <si>
    <t>CONTOUR SOFTWARE (PRIVATE) LIMITED</t>
  </si>
  <si>
    <t>TECHNO PACK INDUSTRIES (PRIVATE) LIMITED</t>
  </si>
  <si>
    <t>SACHAL MARKETING SERVICES (PRIVATE) LIMITED</t>
  </si>
  <si>
    <t>RETAILO - MARIO TECHNOLOGIES (E SQUARE)</t>
  </si>
  <si>
    <t>AL RAHIM RETAIL LIMITED</t>
  </si>
  <si>
    <t>Wajid Mirza</t>
  </si>
  <si>
    <t>Abid Memon</t>
  </si>
  <si>
    <t>Dawood Mustafa</t>
  </si>
  <si>
    <t>abidmemon.rowaski@gmail.com</t>
  </si>
  <si>
    <t>dawood.mustafa@ap.averydennison.com</t>
  </si>
  <si>
    <t>wajid.mirza@alrahimtextile.com</t>
  </si>
  <si>
    <t>Sohail Hashmi</t>
  </si>
  <si>
    <t>ashrafiacomm@gmail.com</t>
  </si>
  <si>
    <t>saadpirzada@studio-q.co</t>
  </si>
  <si>
    <t>Sohail Ahmed</t>
  </si>
  <si>
    <t>sohail.ahmed@mooreshekhamufti.com</t>
  </si>
  <si>
    <t>Waqar Jalil</t>
  </si>
  <si>
    <t xml:space="preserve">Irfan Sher Ali Hussaini </t>
  </si>
  <si>
    <t>admin@toyota-central.com</t>
  </si>
  <si>
    <t>Muhammad Rehan Rathore</t>
  </si>
  <si>
    <t>rehanra@dibpak.com</t>
  </si>
  <si>
    <t>Tooba Siddiqui</t>
  </si>
  <si>
    <t>tooba@his.com.pk</t>
  </si>
  <si>
    <t>Shahnawaz Shaikh</t>
  </si>
  <si>
    <t>shahnawaz@esquare.com.pk</t>
  </si>
  <si>
    <t>humna.yousuf@itecknologi.com</t>
  </si>
  <si>
    <t>Fahad Irshad</t>
  </si>
  <si>
    <t xml:space="preserve">Abdul Wahid Lakhani </t>
  </si>
  <si>
    <t>Syed Muhammad Asim</t>
  </si>
  <si>
    <t>wahid.lakhani@alhilalsa.com</t>
  </si>
  <si>
    <t>Syeda Momal Adeel</t>
  </si>
  <si>
    <t>momal.fakhar@mrmtraders.com</t>
  </si>
  <si>
    <t>Qasim Muhammad</t>
  </si>
  <si>
    <t>qasim.muhammad@brotetechnologies.com</t>
  </si>
  <si>
    <t>Muhammad Kamran Suleman</t>
  </si>
  <si>
    <t>kamransuleman@aivpak.com</t>
  </si>
  <si>
    <t>sumaya.hafeez@echodmc.com</t>
  </si>
  <si>
    <t>Sumaya Hafeez</t>
  </si>
  <si>
    <t>fahad.irshad@excelconsulting.com.pk</t>
  </si>
  <si>
    <t>NOMAN SIDDIQUI</t>
  </si>
  <si>
    <t>jpi1961@hotmail.com</t>
  </si>
  <si>
    <t>saad@peoplesourceplus.com</t>
  </si>
  <si>
    <t>Saad Hashmi</t>
  </si>
  <si>
    <t>sobana.baree@sib.com.pk</t>
  </si>
  <si>
    <t>Sobana Baree</t>
  </si>
  <si>
    <t>haseeb.Ullah@goreyinternational.com</t>
  </si>
  <si>
    <t>Janet Lucas</t>
  </si>
  <si>
    <t>Naseer Khan</t>
  </si>
  <si>
    <t>jlucas@folio3.com</t>
  </si>
  <si>
    <t>Syeda Areej Ahmed</t>
  </si>
  <si>
    <t>Uruba Wakeel</t>
  </si>
  <si>
    <t>abdul.latif@digitonics.com</t>
  </si>
  <si>
    <t>Irfan Faridi</t>
  </si>
  <si>
    <t>kamran.khan@peridotproducts.com</t>
  </si>
  <si>
    <t>Kamran Khan</t>
  </si>
  <si>
    <t>ikhwan@slcmetal.com</t>
  </si>
  <si>
    <t>Haseeb Ullah</t>
  </si>
  <si>
    <t>Faisal Baig-Associate Asst. Manager HR</t>
  </si>
  <si>
    <t xml:space="preserve">faisal-hr@nelsonpaints.com </t>
  </si>
  <si>
    <t>PAINT STUDIO</t>
  </si>
  <si>
    <t>Muhammad Khurram Shehzad-plant manager</t>
  </si>
  <si>
    <t xml:space="preserve">p.m@bluebird-int.com.pk </t>
  </si>
  <si>
    <t>Mohsin Murtaza</t>
  </si>
  <si>
    <t>Ambreen Ellam</t>
  </si>
  <si>
    <t xml:space="preserve">ambreen.ellam@access.net.pk </t>
  </si>
  <si>
    <t>ACSYS LIMITED</t>
  </si>
  <si>
    <t>COVALENT (PVT.) LIMITED</t>
  </si>
  <si>
    <t>EFROTECH SERVICES</t>
  </si>
  <si>
    <t>MUHAMMAD ADIL KALEEM-Deputy Manager Finance</t>
  </si>
  <si>
    <t xml:space="preserve">adil.kaleem@efrotech.com </t>
  </si>
  <si>
    <t>Kashif Akther</t>
  </si>
  <si>
    <t>kakhter@epla-labs.com</t>
  </si>
  <si>
    <t>Abdul Basit-Senior HR Officer &amp; Fatima Danish-Manager</t>
  </si>
  <si>
    <t xml:space="preserve">a.basit@generations.edu.pk </t>
  </si>
  <si>
    <t>Risk Management Services</t>
  </si>
  <si>
    <t>INBOX BUSINESS TECHNOLOGIES (PRIVATE) LIMITED</t>
  </si>
  <si>
    <t>Fasih Ahmed</t>
  </si>
  <si>
    <t>tarteel.ansari@inboxbiz.com</t>
  </si>
  <si>
    <t>Abdul Rauf-HR</t>
  </si>
  <si>
    <t xml:space="preserve">abdul.rauf@i-o.digital </t>
  </si>
  <si>
    <t>Imran Malik-HR &amp; Admin Manager</t>
  </si>
  <si>
    <t xml:space="preserve">imran.malik@linmark.com </t>
  </si>
  <si>
    <t>Muhammad Adnan-Manager HR</t>
  </si>
  <si>
    <t>Syed M. Shams Pervaiz-Finance Controller</t>
  </si>
  <si>
    <t>shams.perwaiz@bayviewhigh.edu.pk</t>
  </si>
  <si>
    <t>NAVEENA EXPORTS LIMITED [DENIM UNIT]</t>
  </si>
  <si>
    <t>Muhammed Bilal Nisar-Senior Deputy Manager</t>
  </si>
  <si>
    <t>bilal.nisar@naveenagroup.com</t>
  </si>
  <si>
    <t>NEXT GENERATION INNOVATIONS</t>
  </si>
  <si>
    <t>BUSHRA FATIMA-Manager HR</t>
  </si>
  <si>
    <t>bushra@nextgeni.com</t>
  </si>
  <si>
    <t>SAMINA AHMED-MANAGER</t>
  </si>
  <si>
    <t xml:space="preserve">samina.ahmed@riaabg.com </t>
  </si>
  <si>
    <t>STANDARD SERVICES</t>
  </si>
  <si>
    <t>Shaista Parveen- Accountant</t>
  </si>
  <si>
    <t>info@standardservices.com.pk</t>
  </si>
  <si>
    <t>Ammad-HR</t>
  </si>
  <si>
    <t>ammad@travelup.co.uk</t>
  </si>
  <si>
    <t>Ms. SOULAHA SIDDIQUI</t>
  </si>
  <si>
    <t xml:space="preserve">soulaha@hondaportqasim.com </t>
  </si>
  <si>
    <t>Mr. Shoaib</t>
  </si>
  <si>
    <t xml:space="preserve">shoaib.ali@hum.tv </t>
  </si>
  <si>
    <t>Ms. Sidra Mann</t>
  </si>
  <si>
    <t xml:space="preserve">sidra.sardar@hum.tv </t>
  </si>
  <si>
    <t>JHIMPIR POWER (PRIVATE) LIMITED</t>
  </si>
  <si>
    <t>Muhammad Farhan</t>
  </si>
  <si>
    <t>muhammad.farhan@uniqueinsurancebrokers.com</t>
  </si>
  <si>
    <t>PAK SUZUKI MOTORS COMPANY LIMITED</t>
  </si>
  <si>
    <t>Syed Muhammad Usama</t>
  </si>
  <si>
    <t>UNIVERSAL BRUSHWARES (PRIVATE) LIMITED</t>
  </si>
  <si>
    <t>Farhan Khan</t>
  </si>
  <si>
    <t>Hasnain Tanweer Associates (Pvt) Ltd</t>
  </si>
  <si>
    <t>Daniyal Khan-Account Manager-HR Services</t>
  </si>
  <si>
    <t>daniyal@hasnain.biz</t>
  </si>
  <si>
    <t>HASNAIN TANWEER ASSOCIATES (PVT) LTD - ZTE</t>
  </si>
  <si>
    <t>fasih.ahmed@rmspk.com</t>
  </si>
  <si>
    <t>ACE COMMUNICATIONS</t>
  </si>
  <si>
    <t>MUHAMMAD SAAD ZUBAIR</t>
  </si>
  <si>
    <t>saad.zubair@acmegt.com</t>
  </si>
  <si>
    <t>AUSTRALIAN IMMIGRATION NETWORK &amp; IT (AINIT)</t>
  </si>
  <si>
    <t>SYED MEHTAB AHMED</t>
  </si>
  <si>
    <t>csm@ainit.net</t>
  </si>
  <si>
    <t>ORAAN TECH (PRIVATE) LIMITED</t>
  </si>
  <si>
    <t>Muhammad Talha</t>
  </si>
  <si>
    <t>talhaf@oraan.com</t>
  </si>
  <si>
    <t>Saif Un Nabi</t>
  </si>
  <si>
    <t xml:space="preserve">saifunnabi@awandistribution.com </t>
  </si>
  <si>
    <t>Muhammad Yousuf Patel</t>
  </si>
  <si>
    <t xml:space="preserve">yousuf.patel@pk.ey.com </t>
  </si>
  <si>
    <t>Mohamamd Afzal-Manager HR Admin</t>
  </si>
  <si>
    <t xml:space="preserve">mohammad.afzal@royalgroupweb.com </t>
  </si>
  <si>
    <t xml:space="preserve">Saad Bin Muzaffar-Sr. HR Executive </t>
  </si>
  <si>
    <t>hr5@afroze.com</t>
  </si>
  <si>
    <t>EZY TECHNOLOGIES (PVT.) LIMITED</t>
  </si>
  <si>
    <t xml:space="preserve">Nadia Tabassum </t>
  </si>
  <si>
    <t xml:space="preserve">nadia@ezy-corp.com </t>
  </si>
  <si>
    <t>Waleed Hussain Siddiqui</t>
  </si>
  <si>
    <t>waleedhussain@talent-edge.net</t>
  </si>
  <si>
    <t>TALENT EDGE CONSULTING (PVT) LTD (DIB)</t>
  </si>
  <si>
    <t>Syed Shahzad Hussain Naqvi</t>
  </si>
  <si>
    <t>shahzad.naqvi@alkaram.com</t>
  </si>
  <si>
    <t>KAZIM TRUST</t>
  </si>
  <si>
    <t>Arsalan</t>
  </si>
  <si>
    <t xml:space="preserve">info@kazimadhdtrust.org </t>
  </si>
  <si>
    <t>Sundus Kaleem</t>
  </si>
  <si>
    <t>sundus.kaleem@lovefordata.com</t>
  </si>
  <si>
    <t>Abdullah-ASST.MANAGER ACCOUNTS</t>
  </si>
  <si>
    <t>abdullah@paragon.com.pk</t>
  </si>
  <si>
    <t>Sohail</t>
  </si>
  <si>
    <t>muhammad.sohail@visionairintl.com</t>
  </si>
  <si>
    <t>Mr. Ejaz Sarwar</t>
  </si>
  <si>
    <t>ejaz@xtrategize.com.pk</t>
  </si>
  <si>
    <t>TEXITECH</t>
  </si>
  <si>
    <t>Faraz Khan</t>
  </si>
  <si>
    <t>faraz.khan@njfk.org</t>
  </si>
  <si>
    <t>EUREKA XPRESS</t>
  </si>
  <si>
    <t>INFORMATION TECHNOLOGY SERVICES</t>
  </si>
  <si>
    <t>XOLVA (PRIVATE) LIMITED</t>
  </si>
  <si>
    <t>EUREKA NET (PRIVATE) LIMITED</t>
  </si>
  <si>
    <t>CORRIDOR LOGISTICS (PVT) LIMITED</t>
  </si>
  <si>
    <t>TECHNYX SYSTEMS</t>
  </si>
  <si>
    <t>REANDA HAROON ZAKARIA ASSOCIATES</t>
  </si>
  <si>
    <t xml:space="preserve">muhammad.farhan@oceanic-group.com </t>
  </si>
  <si>
    <t>REANDA HAROON ZAKARIA &amp; COMPANY</t>
  </si>
  <si>
    <t>NAYA JEEVAN - DRIVE TO HEALTH</t>
  </si>
  <si>
    <t>CURVE TECHNOLOGIES (PRIVATE) LIMITED</t>
  </si>
  <si>
    <t>Naveed Nisar</t>
  </si>
  <si>
    <t xml:space="preserve">naveed.nisar@curvetechnologies.net </t>
  </si>
  <si>
    <t>COSTVEYORS (PRIVATE) LIMITED</t>
  </si>
  <si>
    <t>Syed Masood Ali</t>
  </si>
  <si>
    <t xml:space="preserve">masood.ali@costveyors.com </t>
  </si>
  <si>
    <t>Silvester B. Gabriel</t>
  </si>
  <si>
    <t>sylvester@ravian.ae</t>
  </si>
  <si>
    <t>Sumer Salim Mamdani</t>
  </si>
  <si>
    <t>sumer.salim@salsoft.net</t>
  </si>
  <si>
    <t>KHI/HO/D/HLGRP HEALTH/P/779/02/2021</t>
  </si>
  <si>
    <t>KHI/HO/D/HLGRP HEALTH/P/668/11/2020</t>
  </si>
  <si>
    <t>KHI/HO/D/HLGRP HEALTH/P/547/06/2020</t>
  </si>
  <si>
    <t>KHI/HO/D/HLGRP HEALTH/P/638/10/2020</t>
  </si>
  <si>
    <t>KHI/HO/D/HLGRP HEALTH/P/752/02/2021</t>
  </si>
  <si>
    <t>KHI/HO/D/HLGRP HEALTH/P/620/09/2020</t>
  </si>
  <si>
    <t>SR. NO.</t>
  </si>
  <si>
    <t>CLIENT CODE</t>
  </si>
  <si>
    <t>AGENCY CODE</t>
  </si>
  <si>
    <t>AGENCY REPRESENTATIVE</t>
  </si>
  <si>
    <t>TEAM</t>
  </si>
  <si>
    <t>PMD STATUS</t>
  </si>
  <si>
    <t>TAKAFUL TYPE</t>
  </si>
  <si>
    <t>BRANCH CODE</t>
  </si>
  <si>
    <t>POLICY CODE</t>
  </si>
  <si>
    <t>PARTICIPANT DOCUMET NUMBER (Policy Number)</t>
  </si>
  <si>
    <t>PARTICIPANT'S NAME</t>
  </si>
  <si>
    <t>PMD -           ISSUE DATE</t>
  </si>
  <si>
    <t>PMD -      EFFECTIVE DATE</t>
  </si>
  <si>
    <t>PMD -        EXPIRY DATE</t>
  </si>
  <si>
    <t>NO. OF EMPLOYEES</t>
  </si>
  <si>
    <t>TOTAL LIVES</t>
  </si>
  <si>
    <t>MUHAMMAD IRFAN</t>
  </si>
  <si>
    <t>DIRECT</t>
  </si>
  <si>
    <t>ACTIVE</t>
  </si>
  <si>
    <t>GROUP HEALTH PMD</t>
  </si>
  <si>
    <t>RASHID HAYAT</t>
  </si>
  <si>
    <t>SAQIB ZEESHAN</t>
  </si>
  <si>
    <t>LHR/LHR/D/HLGRP HEALTH/P/529/04/2020</t>
  </si>
  <si>
    <t>GRADE REFRIGERATION PAKISTAN (PVT.) LTD</t>
  </si>
  <si>
    <t>HASSAN MALIK</t>
  </si>
  <si>
    <t>ISD/ISD/D/HLGRP HEALTH/P/531/04/2020</t>
  </si>
  <si>
    <t>TROVICOR (SMC-PVT.) LIMITED</t>
  </si>
  <si>
    <t>AHMED BILAL FAROOQUI</t>
  </si>
  <si>
    <t>KHI/HO/D/HLGRP HEALTH/P/532/05/2020</t>
  </si>
  <si>
    <t>NAVEED ALAM</t>
  </si>
  <si>
    <t>AMIR HASSAN</t>
  </si>
  <si>
    <t>KHI/HO/D/HLGRP HEALTH/P/533/05/2020</t>
  </si>
  <si>
    <t>KHI/HO/D/HLGRP HEALTH/P/534/05/2020</t>
  </si>
  <si>
    <t>ISD/ISD/D/HLGRP HEALTH/P/536/05/2020</t>
  </si>
  <si>
    <t>ICON LIFE MARDAN</t>
  </si>
  <si>
    <t>AFAQUE AHMED</t>
  </si>
  <si>
    <t>KHI/HO/D/HLGRP HEALTH/P/538/06/2020</t>
  </si>
  <si>
    <t>KHI/HO/D/HLGRP HEALTH/P/539/06/2020</t>
  </si>
  <si>
    <t>ASAD MEHMOOD</t>
  </si>
  <si>
    <t>PEW/PEW/D/HLGRP HEALTH/P/540/06/2020</t>
  </si>
  <si>
    <t>HAZARA DEVELOPMENT &amp; ADVOCACY FOUNDATION</t>
  </si>
  <si>
    <t>MOHSIN MURTAZA HUSSAIN</t>
  </si>
  <si>
    <t>KHI/HO/D/HLGRP HEALTH/P/541/06/2020</t>
  </si>
  <si>
    <t>GENERATIONS SCHOOL (PRIVATE) LTD</t>
  </si>
  <si>
    <t>RISK MANAGEMENT SERVICES</t>
  </si>
  <si>
    <t>BROKERAGE HOUSE</t>
  </si>
  <si>
    <t>KHI/HO/D/HLGRP HEALTH/P/544/06/2020</t>
  </si>
  <si>
    <t>KHI/HO/D/HLGRP HEALTH/P/548/06/2020</t>
  </si>
  <si>
    <t>KHI/HO/D/HLGRP HEALTH/P/549/06/2020</t>
  </si>
  <si>
    <t>E-ACCESS (PRIVATE) LIMITED</t>
  </si>
  <si>
    <t>ISD/ISD/D/HLGRP HEALTH/P/546/06/2020</t>
  </si>
  <si>
    <t>NETKOM TECHNOLOGIES (PRIVATE) LIMITED</t>
  </si>
  <si>
    <t>KHI/HO/D/HLGRP HEALTH/P/570/07/2020</t>
  </si>
  <si>
    <t>KHURRAM ANIS</t>
  </si>
  <si>
    <t>KHI/HO/D/HLGRP HEALTH/P/571/07/2020</t>
  </si>
  <si>
    <t>EY FORD RHODES</t>
  </si>
  <si>
    <t>KHI/HO/D/HLGRP HEALTH/P/574/07/2020</t>
  </si>
  <si>
    <t>KHI/HO/D/HLGRP HEALTH/P/575/07/2020</t>
  </si>
  <si>
    <t>KHI/HO/D/HLGRP HEALTH/P/577/07/2020</t>
  </si>
  <si>
    <t>KHI/HO/D/HLGRP HEALTH/P/579/07/2020</t>
  </si>
  <si>
    <t>MUHAMMAD AMIR SAEED</t>
  </si>
  <si>
    <t>PEW/PEW/D/HLGRP HEALTH/P/589/08/2020</t>
  </si>
  <si>
    <t>PEW/PEW/D/HLGRP HEALTH/P/592/08/2020</t>
  </si>
  <si>
    <t>CECOS UNIVERSITY OF INFO TECH &amp; EMERGING SCIENCES</t>
  </si>
  <si>
    <t>AFFAN ALI KHAN</t>
  </si>
  <si>
    <t>ISD/ISD/D/HLGRP HEALTH/P/590/08/2020</t>
  </si>
  <si>
    <t>TURKEY MAARIF FOUNDATION</t>
  </si>
  <si>
    <t>KHI/HO/D/HLGRP HEALTH/P/593/08/2020</t>
  </si>
  <si>
    <t>USAMA FAROOQUI</t>
  </si>
  <si>
    <t>KHI/HO/D/HLGRP HEALTH/P/595/08/2020</t>
  </si>
  <si>
    <t>KHI/HO/D/HLGRP HEALTH/P/596/08/2020</t>
  </si>
  <si>
    <t>UNIQUE INSURANCE BROKERS (PVT) LTD</t>
  </si>
  <si>
    <t>PEW/PEW/D/HLGRP HEALTH/P/597/08/2020</t>
  </si>
  <si>
    <t>INTERNATIONAL MEDICAL CORPS</t>
  </si>
  <si>
    <t>KHI/HO/D/HLGRP HEALTH/P/599/09/2020</t>
  </si>
  <si>
    <t>KHI/HO/D/HLGRP HEALTH/P/600/09/2020</t>
  </si>
  <si>
    <t>KHI/HO/D/HLGRP HEALTH/P/601/09/2020</t>
  </si>
  <si>
    <t>ISD/ISD/D/HLGRP HEALTH/P/602/09/2020</t>
  </si>
  <si>
    <t>SWITCH</t>
  </si>
  <si>
    <t>KHI/HO/D/HLGRP HEALTH/P/604/09/2020</t>
  </si>
  <si>
    <t>KHI/HO/D/HLGRP HEALTH/P/605/09/2020</t>
  </si>
  <si>
    <t>AWAN DISTRIBUTION (PVT) LTD</t>
  </si>
  <si>
    <t>ISD/ISD/D/HLGRP HEALTH/P/606/09/2020</t>
  </si>
  <si>
    <t>MARYAM MEMORIAL HOSPITAL (PRIVATE) LIMITED</t>
  </si>
  <si>
    <t>ISD/ISD/D/HLGRP HEALTH/P/617/09/2020</t>
  </si>
  <si>
    <t>RAPID REMOTE SERVICES (SMC-PRIVATE) LIMITED</t>
  </si>
  <si>
    <t>ISD/ISD/D/HLGRP HEALTH/P/618/09/2020</t>
  </si>
  <si>
    <t>MAROOF INTERNATIONAL HOSPITAL</t>
  </si>
  <si>
    <t>AL-KARAM STUDIO</t>
  </si>
  <si>
    <t>KHI/HO/D/HLGRP HEALTH/P/622/09/2020</t>
  </si>
  <si>
    <t>MEHBOOB MHIS</t>
  </si>
  <si>
    <t>LHR/LHR/D/HLGRP HEALTH/P/624/09/2020</t>
  </si>
  <si>
    <t>O T C</t>
  </si>
  <si>
    <t>NAYA JEEVAN</t>
  </si>
  <si>
    <t>KHI/HO/D/HLGRP HEALTH/P/623/09/2020</t>
  </si>
  <si>
    <t>MUDASSIR NAZIR</t>
  </si>
  <si>
    <t>PEW/PEW/D/HLGRP HEALTH/P/626/09/2020</t>
  </si>
  <si>
    <t>ABASYN UNIVERSITY</t>
  </si>
  <si>
    <t>KHI/HO/D/HLGRP HEALTH/P/628/09/2020</t>
  </si>
  <si>
    <t>ROYAL GROUP</t>
  </si>
  <si>
    <t>KHI/HO/D/HLGRP HEALTH/P/627/09/2020</t>
  </si>
  <si>
    <t>REHAN BOOTI</t>
  </si>
  <si>
    <t>KHI/HO/D/HLGRP HEALTH/P/629/09/2020</t>
  </si>
  <si>
    <t>KHI/HO/D/HLGRP HEALTH/P/630/09/2020</t>
  </si>
  <si>
    <t>KHI/HO/D/HLGRP HEALTH/P/637/10/2020</t>
  </si>
  <si>
    <t>YASIR MUHAMMAD</t>
  </si>
  <si>
    <t>AFROZE TEXTILE INDUSTRIES (PVT) LTD</t>
  </si>
  <si>
    <t>KHI/HO/D/HLGRP HEALTH/P/652/10/2020</t>
  </si>
  <si>
    <t>KHI/HO/D/HLGRP HEALTH/P/651/10/2020</t>
  </si>
  <si>
    <t>KHI/HO/D/HLGRP HEALTH/P/653/10/2020</t>
  </si>
  <si>
    <t>KHI/HO/D/HLGRP HEALTH/P/650/10/2020</t>
  </si>
  <si>
    <t>KHI/HO/D/HLGRP HEALTH/P/654/10/2020</t>
  </si>
  <si>
    <t>KHI/HO/D/HLGRP HEALTH/P/649/10/2020</t>
  </si>
  <si>
    <t>KHI/HO/D/HLGRP HEALTH/P/656/10/2020</t>
  </si>
  <si>
    <t>BAY VIEW JUNIOR SCHOOL</t>
  </si>
  <si>
    <t>LHR/LHR/D/HLGRP HEALTH/P/660/10/2020</t>
  </si>
  <si>
    <t>SALMAN KHALID</t>
  </si>
  <si>
    <t>KHI/HO/D/HLGRP HEALTH/P/661/10/2020</t>
  </si>
  <si>
    <t>SHEHROZ ADIL</t>
  </si>
  <si>
    <t>KHI/HO/D/HLGRP HEALTH/P/662/10/2020</t>
  </si>
  <si>
    <t>VISION AIR INTERNATIONAL (PVT) LTD</t>
  </si>
  <si>
    <t>MOEEN UDDIN</t>
  </si>
  <si>
    <t>KHI/HO/D/HLGRP HEALTH/P/665/11/2020</t>
  </si>
  <si>
    <t>KHI/HO/D/HLGRP HEALTH/P/667/11/2020</t>
  </si>
  <si>
    <t>KHI/HO/D/HLGRP HEALTH/P/669/11/2020</t>
  </si>
  <si>
    <t>LHR/LHR/D/HLGRP HEALTH/P/671/11/2020</t>
  </si>
  <si>
    <t>ANAM WEAVING MILLS</t>
  </si>
  <si>
    <t>LHR/LHR/D/HLGRP HEALTH/P/672/11/2020</t>
  </si>
  <si>
    <t>SHABBIR TEXTILE MILLS</t>
  </si>
  <si>
    <t>FIDELITY INSURANCE BROKERS (PVT) LTD</t>
  </si>
  <si>
    <t>KHI/HO/D/HLGRP HEALTH/P/675/11/2020</t>
  </si>
  <si>
    <t>KHI/HO/D/HLGRP HEALTH/P/674/11/2020</t>
  </si>
  <si>
    <t>KHI/HO/D/HLGRP HEALTH/P/676/12/2020</t>
  </si>
  <si>
    <t>ISD/ISD/D/HLGRP HEALTH/P/680/12/2020</t>
  </si>
  <si>
    <t>UNICORN BLACK (PRIVATE) LIMITED</t>
  </si>
  <si>
    <t>KHI/HO/D/HLGRP HEALTH/P/677/12/2020</t>
  </si>
  <si>
    <t>ISD/ISD/D/HLGRP HEALTH/P/681/12/2020</t>
  </si>
  <si>
    <t>CARDNO EMERGING MARKETS (AUSTRALIA) PTY LTD</t>
  </si>
  <si>
    <t>KHI/HO/D/HLGRP HEALTH/P/682/12/2020</t>
  </si>
  <si>
    <t>KHI/HO/D/HLGRP HEALTH/P/683/12/2020</t>
  </si>
  <si>
    <t>ISD/ISD/D/HLGRP HEALTH/P/695/12/2020</t>
  </si>
  <si>
    <t>NATIONAL DATA CONSULTANT (PRIVATE) LTD</t>
  </si>
  <si>
    <t>KHI/HO/D/HLGRP HEALTH/P/698/12/2020</t>
  </si>
  <si>
    <t>KHI/HO/D/HLGRP HEALTH/P/700/12/2020</t>
  </si>
  <si>
    <t>KHI/HO/D/HLGRP HEALTH/P/701/12/2020</t>
  </si>
  <si>
    <t>LINMARK INTERNATIONAL (HONG KONG) LIMITED</t>
  </si>
  <si>
    <t>LHR/LHR/D/HLGRP HEALTH/P/704/12/2020</t>
  </si>
  <si>
    <t>HONDA TOWNSHIP (PRIVATE) LIMITED</t>
  </si>
  <si>
    <t>KHI/HO/D/HLGRP HEALTH/P/705/12/2020</t>
  </si>
  <si>
    <t>LHR/LHR/D/HLGRP HEALTH/P/712/12/2020</t>
  </si>
  <si>
    <t>THINGTRAX</t>
  </si>
  <si>
    <t>KHI/HO/D/HLGRP HEALTH/P/711/12/2020</t>
  </si>
  <si>
    <t>ISD/ISD/D/HLGRP HEALTH/P/709/12/2020</t>
  </si>
  <si>
    <t>SAUFIK</t>
  </si>
  <si>
    <t>KHI/HO/D/HLGRP HEALTH/P/707/12/2020</t>
  </si>
  <si>
    <t>KHI/HO/D/HLGRP HEALTH/P/708/12/2020</t>
  </si>
  <si>
    <t>HASNAIN TANWEER ASSOCIATES (PVT) LTD</t>
  </si>
  <si>
    <t>KHI/HO/D/HLGRP HEALTH/P/710/12/2020</t>
  </si>
  <si>
    <t>KHI/HO/D/HLGRP HEALTH/P/713/12/2020</t>
  </si>
  <si>
    <t>KHI/HO/D/HLGRP HEALTH/P/721/12/2020</t>
  </si>
  <si>
    <t>KHI/HO/D/HLGRP HEALTH/P/720/12/2020</t>
  </si>
  <si>
    <t>ISD/ISD/D/HLGRP HEALTH/P/723/12/2020</t>
  </si>
  <si>
    <t>NATIONAL ENGINEERS</t>
  </si>
  <si>
    <t>KHI/HO/D/HLGRP HEALTH/P/719/12/2020</t>
  </si>
  <si>
    <t>PEW/PEW/D/HLGRP HEALTH/P/722/12/2020</t>
  </si>
  <si>
    <t>REHMAN MEDICAL INSTITUTE</t>
  </si>
  <si>
    <t>KHI/HO/D/HLGRP HEALTH/P/718/12/2020</t>
  </si>
  <si>
    <t>KHI/HO/D/HLGRP HEALTH/P/725/12/2020</t>
  </si>
  <si>
    <t>ABID HUSSAIN</t>
  </si>
  <si>
    <t>KHI/HO/D/HLGRP HEALTH/P/726/01/2021</t>
  </si>
  <si>
    <t>LHR/LHR/D/HLGRP HEALTH/P/727/01/2021</t>
  </si>
  <si>
    <t>HITEC UNIVERSITY (HIT-EWT)</t>
  </si>
  <si>
    <t>KHI/HO/D/HLGRP HEALTH/P/728/01/2021</t>
  </si>
  <si>
    <t>KHI/HO/D/HLGRP HEALTH/P/730/01/2021</t>
  </si>
  <si>
    <t>KHI/HO/D/HLGRP HEALTH/P/731/01/2021</t>
  </si>
  <si>
    <t>RAJA MALL</t>
  </si>
  <si>
    <t>KHI/HO/D/HLGRP HEALTH/P/729/01/2021</t>
  </si>
  <si>
    <t>KHI/HO/D/HLGRP HEALTH/P/732/01/2021</t>
  </si>
  <si>
    <t>RIAA BARKER GILLETTE</t>
  </si>
  <si>
    <t>KHI/HO/D/HLGRP HEALTH/P/733/01/2021</t>
  </si>
  <si>
    <t>LHR/LHR/D/HLGRP HEALTH/P/735/01/2021</t>
  </si>
  <si>
    <t>ABACUS ELS (PRIVATE) LIMITED</t>
  </si>
  <si>
    <t>SIB (PVT) LTD</t>
  </si>
  <si>
    <t>KHI/HO/D/HLGRP HEALTH/P/734/01/2021</t>
  </si>
  <si>
    <t>KHI/HO/D/HLGRP HEALTH/P/739/01/2021</t>
  </si>
  <si>
    <t>BLUE BIRD INTERNATIONAL TECHNOLOGY</t>
  </si>
  <si>
    <t>ISD/ISD/D/HLGRP HEALTH/P/740/01/2021</t>
  </si>
  <si>
    <t>MICROAGILITY SERVICES (PVT.) LIMITED</t>
  </si>
  <si>
    <t>KHI/HO/D/HLGRP HEALTH/P/744/01/2021</t>
  </si>
  <si>
    <t>TRAVELUP PAKISTAN OPERATIONS (PVT) LTD</t>
  </si>
  <si>
    <t>KHI/HO/D/HLGRP HEALTH/P/745/01/2021</t>
  </si>
  <si>
    <t>KHI/HO/D/HLGRP HEALTH/P/747/01/2021</t>
  </si>
  <si>
    <t>KHI/HO/D/HLGRP HEALTH/P/750/01/2021</t>
  </si>
  <si>
    <t>EPLA LABORATORIES (PRIVATE) LIMITED</t>
  </si>
  <si>
    <t>ISD/ISD/D/HLGRP HEALTH/P/749/01/2021</t>
  </si>
  <si>
    <t>PENNY APPEAL</t>
  </si>
  <si>
    <t>KHI/HO/D/HLGRP HEALTH/P/748/01/2021</t>
  </si>
  <si>
    <t>KHI/HO/D/HLGRP HEALTH/P/755/02/2021</t>
  </si>
  <si>
    <t>LOVE FOR DATA</t>
  </si>
  <si>
    <t>AMAR</t>
  </si>
  <si>
    <t>KHI/HO/D/HLGRP HEALTH/P/753/02/2021</t>
  </si>
  <si>
    <t>EXCEL CONSULTING (PVT) LTD</t>
  </si>
  <si>
    <t>KHI/HO/D/HLGRP HEALTH/P/754/02/2021</t>
  </si>
  <si>
    <t>KHI/HO/D/HLGRP HEALTH/P/756/02/2021</t>
  </si>
  <si>
    <t>IO DIGITAL (PRIVATE) LIMITED</t>
  </si>
  <si>
    <t>ISD/ISD/D/HLGRP HEALTH/P/758/02/2021</t>
  </si>
  <si>
    <t>THALES INTERNATIONAL MIDDLE EAST</t>
  </si>
  <si>
    <t>ISD/ISD/D/HLGRP HEALTH/P/757/02/2021</t>
  </si>
  <si>
    <t>GEMALTO PAKISTAN (PVT) LTD</t>
  </si>
  <si>
    <t>ISD/ISD/D/HLGRP HEALTH/P/759/02/2021</t>
  </si>
  <si>
    <t>FROEBELS (PRIVATE) LIMITED</t>
  </si>
  <si>
    <t>KHI/HO/D/HLGRP HEALTH/P/763/02/2021</t>
  </si>
  <si>
    <t>KHI/HO/D/HLGRP HEALTH/P/764/02/2021</t>
  </si>
  <si>
    <t>KHI/HO/D/HLGRP HEALTH/P/762/02/2021</t>
  </si>
  <si>
    <t>KHI/HO/D/HLGRP HEALTH/P/765/02/2021</t>
  </si>
  <si>
    <t>KHI/HO/D/HLGRP HEALTH/P/767/02/2021</t>
  </si>
  <si>
    <t>WEBOTICKS (PRIVATE) LIMITED</t>
  </si>
  <si>
    <t>KHI/HO/D/HLGRP HEALTH/P/766/02/2021</t>
  </si>
  <si>
    <t>FEDERAL INSURANCE OMBUDSMANS SECRETARIAT</t>
  </si>
  <si>
    <t>KHI/HO/D/HLGRP HEALTH/P/770/02/2021</t>
  </si>
  <si>
    <t>SIDDIQUI ASSOCIATES</t>
  </si>
  <si>
    <t>LHR/LHR/D/HLGRP HEALTH/P/771/02/2021</t>
  </si>
  <si>
    <t>ELITE TECHLOGIX</t>
  </si>
  <si>
    <t>KHI/HO/D/HLGRP HEALTH/P/769/02/2021</t>
  </si>
  <si>
    <t>PEOPLE SOURCE PLUS (SMC-PVT) LTD</t>
  </si>
  <si>
    <t>YASMEEN JATOI</t>
  </si>
  <si>
    <t>KHI/HO/D/HLGRP HEALTH/P/778/02/2021</t>
  </si>
  <si>
    <t>A.S TRADERS</t>
  </si>
  <si>
    <t>KHI/HO/D/HLGRP HEALTH/P/777/02/2021</t>
  </si>
  <si>
    <t>NELSON STUDIO CORPORATION</t>
  </si>
  <si>
    <t>KHI/HO/D/HLGRP HEALTH/P/780/02/2021</t>
  </si>
  <si>
    <t>TAHA BUILDERS &amp; DEVELOPERS</t>
  </si>
  <si>
    <t>KHI/HO/D/HLGRP HEALTH/P/776/02/2021</t>
  </si>
  <si>
    <t>NELSON PAINTS INDUSTRIES (PVT) LIMITED</t>
  </si>
  <si>
    <t>KHI/HO/D/HLGRP HEALTH/P/782/02/2021</t>
  </si>
  <si>
    <t>JINNAH POLYTECHNIC INSTITUTE</t>
  </si>
  <si>
    <t>ISD/ISD/D/HLGRP HEALTH/P/783/02/2021</t>
  </si>
  <si>
    <t>KHI/HO/D/HLGRP HEALTH/P/785/02/2021</t>
  </si>
  <si>
    <t>DABBAWALAS (PRIVATE) LIMITED</t>
  </si>
  <si>
    <t>LHR/LHR/D/HLGRP HEALTH/P/794/03/2021</t>
  </si>
  <si>
    <t>ISD/ISD/D/HLGRP HEALTH/P/798/03/2021</t>
  </si>
  <si>
    <t>FIBER MOUNTAIN TECHNOLOGIES (PRIVATE) LIMITED</t>
  </si>
  <si>
    <t>Syed Bilal Ali</t>
  </si>
  <si>
    <t>KHI/HO/D/HLGRP HEALTH/P/796/03/2021</t>
  </si>
  <si>
    <t>TRANSLOGISTIC SEA &amp; AIR COMPANY</t>
  </si>
  <si>
    <t>ISD/ISD/D/HLGRP HEALTH/P/797/03/2021</t>
  </si>
  <si>
    <t>WISEMAN INNOVATIONS (SMC-PRIVATE) LIMITED</t>
  </si>
  <si>
    <t>KHI/HO/D/HLGRP HEALTH/P/793/03/2021</t>
  </si>
  <si>
    <t>PARAGON CONSTRUCTORS (PRIVATE) LIMITED</t>
  </si>
  <si>
    <t>LHR/LHR/D/HLGRP HEALTH/P/795/03/2021</t>
  </si>
  <si>
    <t>RUBA DIGITAL (PVT) LIMITED</t>
  </si>
  <si>
    <t>M. AYAZ</t>
  </si>
  <si>
    <t>KHI/HO/D/HLGRP HEALTH/P/799/03/2021</t>
  </si>
  <si>
    <t>BRIOGENE (PVT) LTD</t>
  </si>
  <si>
    <t>MUHAMMAD AFZAL PANAWALA</t>
  </si>
  <si>
    <t>KHI/HO/D/HLGRP HEALTH/P/800/03/2021</t>
  </si>
  <si>
    <t>GOREY INTERNATIONAL</t>
  </si>
  <si>
    <t>KHI/HO/D/HLGRP HEALTH/P/801/03/2021</t>
  </si>
  <si>
    <t>HERBION PAKISTAN (PVT) LIMITED</t>
  </si>
  <si>
    <t>KHI/HO/D/HLGRP HEALTH/P/804/03/2021</t>
  </si>
  <si>
    <t>LHR/LHR/D/HLGRP HEALTH/P/805/03/2021</t>
  </si>
  <si>
    <t>ADEX360 (PRIVATE) LIMITED</t>
  </si>
  <si>
    <t>KHI/HO/D/HLGRP HEALTH/P/803/03/2021</t>
  </si>
  <si>
    <t>KHI/HO/D/HLGRP HEALTH/P/802/03/2021</t>
  </si>
  <si>
    <t>HONDA PORT QASIM (PRIVATE) LIMITED</t>
  </si>
  <si>
    <t>ISD/ISD/D/HLGRP HEALTH/P/809/03/2021</t>
  </si>
  <si>
    <t>CHEF INTERNATIONAL</t>
  </si>
  <si>
    <t>KHI/HO/D/HLGRP HEALTH/P/808/03/2021</t>
  </si>
  <si>
    <t>BHATTI ENTERPRISES</t>
  </si>
  <si>
    <t>KHI/HO/D/HLGRP HEALTH/P/811/03/2021</t>
  </si>
  <si>
    <t>DIMENSIONS</t>
  </si>
  <si>
    <t>ISD/ISD/D/HLGRP HEALTH/P/812/03/2021</t>
  </si>
  <si>
    <t>INSTITUTE OF POLICY STUDIES</t>
  </si>
  <si>
    <t>KHI/HO/D/HLGRP HEALTH/P/813/03/2021</t>
  </si>
  <si>
    <t>KHI/HO/D/HLGRP HEALTH/P/814/03/2021</t>
  </si>
  <si>
    <t>KHI/HO/D/HLGRP HEALTH/P/816/03/2021</t>
  </si>
  <si>
    <t>HUM NETWORK LIMITED</t>
  </si>
  <si>
    <t>KHI/HO/D/HLGRP HEALTH/P/815/03/2021</t>
  </si>
  <si>
    <t>HUM NEWS</t>
  </si>
  <si>
    <t>KHI/HO/D/HLGRP HEALTH/P/817/03/2021</t>
  </si>
  <si>
    <t>SALSOFT TECHNOLOGIES (PRIVATE) LIMITED</t>
  </si>
  <si>
    <t>WAJAHAT BAIG</t>
  </si>
  <si>
    <t>LHR/LHR/D/HLGRP HEALTH/P/820/03/2021</t>
  </si>
  <si>
    <t>ROUTE-2 HEALTH (PRIVATE) LIMITED</t>
  </si>
  <si>
    <t>KHI/HO/D/HLGRP HEALTH/P/818/03/2021</t>
  </si>
  <si>
    <t>PEW/PEW/D/HLGRP HEALTH/P/821/03/2021</t>
  </si>
  <si>
    <t>KHYBER PAKHTUNKHWA OIL AND GAS COMPANY LIMITED</t>
  </si>
  <si>
    <t>Name of Contact Person</t>
  </si>
  <si>
    <t>Email ID of Contact person</t>
  </si>
  <si>
    <t>Muddasar Iqbal</t>
  </si>
  <si>
    <t>mudassar.iqbal@abacus-global.com</t>
  </si>
  <si>
    <t>Mr. Imran Khan</t>
  </si>
  <si>
    <t>chancellor@abasyn.edu.pk</t>
  </si>
  <si>
    <t>Mr. Shaheryar Ahmed</t>
  </si>
  <si>
    <t>sheharyar.ahmed@adex360.com</t>
  </si>
  <si>
    <t>imran@anamweaving.com</t>
  </si>
  <si>
    <t>MUHAMMAD UMER</t>
  </si>
  <si>
    <t>umer.muhammad@briogene.com</t>
  </si>
  <si>
    <t>Shahzad Masih Bhatti</t>
  </si>
  <si>
    <t>bhatti_int_@yahoo.com</t>
  </si>
  <si>
    <t>Mr. Zohaib Mohammad</t>
  </si>
  <si>
    <t>zohaib.mohammad@cardno.com</t>
  </si>
  <si>
    <t>Muhammad Imran</t>
  </si>
  <si>
    <t>muhammadimran@cecos.edu.pk</t>
  </si>
  <si>
    <t>TAHIR NASEEM</t>
  </si>
  <si>
    <t>tahir.naseem@chef.org.pk</t>
  </si>
  <si>
    <t>Muhammad Asif Khan</t>
  </si>
  <si>
    <t>asif.khan@dabbawalas.ltd</t>
  </si>
  <si>
    <t>Faisal Abbasi</t>
  </si>
  <si>
    <t>faisa.abbasi@dimensionsoffice.com</t>
  </si>
  <si>
    <t>SHAHID ZAMAN</t>
  </si>
  <si>
    <t>INFO@ELITETECHNOLOGIX.COM</t>
  </si>
  <si>
    <t>Mr. Mabashir Naeem Siddiqui</t>
  </si>
  <si>
    <t>sarosh@takaful.com.pk</t>
  </si>
  <si>
    <t>Waqas Khalil</t>
  </si>
  <si>
    <t>waqaskhalil@fibermountain.com</t>
  </si>
  <si>
    <t>Muhammad Anees</t>
  </si>
  <si>
    <t>BASEM ABDUL FATTAH MAHMOUD ALFAR</t>
  </si>
  <si>
    <t>maslam@grasso-adearest.com</t>
  </si>
  <si>
    <t>GHULAM SARWAR</t>
  </si>
  <si>
    <t>ghulamsarwar1999@gmail.com</t>
  </si>
  <si>
    <t>Ms. Afsheen Ishtiaq</t>
  </si>
  <si>
    <t>treasurer@hitecuniversity.pk</t>
  </si>
  <si>
    <t>MUHAMMAD MAROOF</t>
  </si>
  <si>
    <t>Niaz Ahmed Khan</t>
  </si>
  <si>
    <t>niaztoru@gmail.com</t>
  </si>
  <si>
    <t>RAJA FARRUKH ZEB</t>
  </si>
  <si>
    <t>farrukh@ips.net.pk</t>
  </si>
  <si>
    <t>Waqar Hussain</t>
  </si>
  <si>
    <t>hwaqar@InternationalMedicalCorps.org</t>
  </si>
  <si>
    <t>Mr. Usman G. Khattak &amp; Mr. Zahoor Khattak</t>
  </si>
  <si>
    <t>ceo@kpogcl.com.pk</t>
  </si>
  <si>
    <t>Mohsin Ali</t>
  </si>
  <si>
    <t>mohsin.ali@kpezdmc.org.pk</t>
  </si>
  <si>
    <t>Mr. Malik Zeeshan Ali</t>
  </si>
  <si>
    <t>zeeshan.ali@maroof.com.pk</t>
  </si>
  <si>
    <t>Mr. Shahzad Akhtar</t>
  </si>
  <si>
    <t>bilal@maryam.com.pk</t>
  </si>
  <si>
    <t>Fahad Ibne Shaheryar</t>
  </si>
  <si>
    <t>fahad.shaheryar@meritincentive.com</t>
  </si>
  <si>
    <t>Muhammad Usman</t>
  </si>
  <si>
    <t>musman@maservices-ltd.com</t>
  </si>
  <si>
    <t>Ms. Fozia Qadir</t>
  </si>
  <si>
    <t>fozia.qadir@ne.com.pk</t>
  </si>
  <si>
    <t>SYED REHAN ALI SHAH</t>
  </si>
  <si>
    <t>syed.rehan@netkom.com.pk</t>
  </si>
  <si>
    <t>Zakish Ayub</t>
  </si>
  <si>
    <t>zakish@otc.com.pk</t>
  </si>
  <si>
    <t>Ms. Uzma Latif</t>
  </si>
  <si>
    <t>uzma@pennyappeal.org.pk</t>
  </si>
  <si>
    <t>Zeeshan Bashir</t>
  </si>
  <si>
    <t>zeeshan@rrs.com.pk</t>
  </si>
  <si>
    <t>Mr. Iftikhar Ahmad</t>
  </si>
  <si>
    <t>iftikhar.ahmad@rmi.edu.pk</t>
  </si>
  <si>
    <t>Asad Ejaz</t>
  </si>
  <si>
    <t>asad.ejaz@route2health.net</t>
  </si>
  <si>
    <t>Rashid Minhas</t>
  </si>
  <si>
    <t>rashid.minhas@rd.net.pk</t>
  </si>
  <si>
    <t>Rabia Shan Ali</t>
  </si>
  <si>
    <t>hr@saufik.com</t>
  </si>
  <si>
    <t>Rida Farrukh</t>
  </si>
  <si>
    <t>rida@clearstonegroup.com.pk</t>
  </si>
  <si>
    <t>Mr. Fahad Riaz</t>
  </si>
  <si>
    <t>ngosparc@gmail.com</t>
  </si>
  <si>
    <t>Umair Iqbal</t>
  </si>
  <si>
    <t>umair@switchitc.com</t>
  </si>
  <si>
    <t>Kamran Ahmed</t>
  </si>
  <si>
    <t>kamran.ahmed@thalesgroup.com</t>
  </si>
  <si>
    <t>Atiq Ullah</t>
  </si>
  <si>
    <t>atiq@thingtrax.com</t>
  </si>
  <si>
    <t>HIDAYAT KHAN</t>
  </si>
  <si>
    <t>hidayat.khan@trovicor.com</t>
  </si>
  <si>
    <t>ABDUL MANAIM</t>
  </si>
  <si>
    <t>amkhan@pakturkmaarif.edu.pk</t>
  </si>
  <si>
    <t>Khalid Jumani</t>
  </si>
  <si>
    <t>khalid.jumani@uniqueinsurancebrokers.com</t>
  </si>
  <si>
    <t>Ms. Sadia Mumtaz</t>
  </si>
  <si>
    <t>sadia.mumtaz@wiseman.com</t>
  </si>
  <si>
    <t>finance@hondatownship.com.pk</t>
  </si>
  <si>
    <t>hr.record@froebels.edu.pk</t>
  </si>
  <si>
    <t>KHI</t>
  </si>
  <si>
    <t>LHR</t>
  </si>
  <si>
    <t>PEW</t>
  </si>
  <si>
    <t>ISD</t>
  </si>
  <si>
    <t>The Paracha Textile Mills</t>
  </si>
  <si>
    <t>KHI/HO/D/HLGRP HEALTH/P/833/03/2021</t>
  </si>
  <si>
    <t>KHI/HO/D/HLGRP HEALTH/P/834/03/2021</t>
  </si>
  <si>
    <t>Mezan Team (Pvt) Ltd</t>
  </si>
  <si>
    <t>Abdul Aala</t>
  </si>
  <si>
    <t>abdul.aala@mezangrp.com</t>
  </si>
  <si>
    <t>08801198</t>
  </si>
  <si>
    <t>08801705</t>
  </si>
  <si>
    <t>08002022</t>
  </si>
  <si>
    <t>08801630</t>
  </si>
  <si>
    <t>08801363</t>
  </si>
  <si>
    <t>08801816</t>
  </si>
  <si>
    <t>08004290</t>
  </si>
  <si>
    <t>08801203</t>
  </si>
  <si>
    <t>08004499</t>
  </si>
  <si>
    <t>08801698</t>
  </si>
  <si>
    <t>08801451</t>
  </si>
  <si>
    <t>08801375</t>
  </si>
  <si>
    <t>08801532</t>
  </si>
  <si>
    <t>08801658</t>
  </si>
  <si>
    <t>08002040</t>
  </si>
  <si>
    <t>08801318</t>
  </si>
  <si>
    <t>08801499</t>
  </si>
  <si>
    <t>08800954</t>
  </si>
  <si>
    <t>08801551</t>
  </si>
  <si>
    <t>08801385</t>
  </si>
  <si>
    <t>08801822</t>
  </si>
  <si>
    <t>08801079</t>
  </si>
  <si>
    <t>08003961</t>
  </si>
  <si>
    <t>08801657</t>
  </si>
  <si>
    <t>08800787</t>
  </si>
  <si>
    <t>08801262</t>
  </si>
  <si>
    <t>08801729</t>
  </si>
  <si>
    <t>08800849</t>
  </si>
  <si>
    <t>08801700</t>
  </si>
  <si>
    <t>08801364</t>
  </si>
  <si>
    <t>08801641</t>
  </si>
  <si>
    <t>08801689</t>
  </si>
  <si>
    <t>08801793</t>
  </si>
  <si>
    <t>08800990</t>
  </si>
  <si>
    <t>08801825</t>
  </si>
  <si>
    <t>08004847</t>
  </si>
  <si>
    <t>08801482</t>
  </si>
  <si>
    <t>08800720</t>
  </si>
  <si>
    <t>08800516</t>
  </si>
  <si>
    <t>08003748</t>
  </si>
  <si>
    <t>08801229</t>
  </si>
  <si>
    <t>08801192</t>
  </si>
  <si>
    <t>08801379</t>
  </si>
  <si>
    <t>08801287</t>
  </si>
  <si>
    <t>08801768</t>
  </si>
  <si>
    <t>08801803</t>
  </si>
  <si>
    <t>08000725</t>
  </si>
  <si>
    <t>08801213</t>
  </si>
  <si>
    <t>08801098</t>
  </si>
  <si>
    <t>08800665</t>
  </si>
  <si>
    <t>08801220</t>
  </si>
  <si>
    <t>08801299</t>
  </si>
  <si>
    <t>08801380</t>
  </si>
  <si>
    <t>08801180</t>
  </si>
  <si>
    <t>08801335</t>
  </si>
  <si>
    <t>08003612</t>
  </si>
  <si>
    <t>08801210</t>
  </si>
  <si>
    <t>08801014</t>
  </si>
  <si>
    <t>08801135</t>
  </si>
  <si>
    <t>08800808</t>
  </si>
  <si>
    <t>08004994</t>
  </si>
  <si>
    <t>08800552</t>
  </si>
  <si>
    <t>08800576</t>
  </si>
  <si>
    <t>08800503</t>
  </si>
  <si>
    <t>08801089</t>
  </si>
  <si>
    <t>08801330</t>
  </si>
  <si>
    <t>08004822</t>
  </si>
  <si>
    <t>08801293</t>
  </si>
  <si>
    <t>08801387</t>
  </si>
  <si>
    <t>08800505</t>
  </si>
  <si>
    <t>08801488</t>
  </si>
  <si>
    <t>08801084</t>
  </si>
  <si>
    <t>08801292</t>
  </si>
  <si>
    <t>08801381</t>
  </si>
  <si>
    <t>08801648</t>
  </si>
  <si>
    <t>08801300</t>
  </si>
  <si>
    <t>08801813</t>
  </si>
  <si>
    <t>08801452</t>
  </si>
  <si>
    <t>08003224</t>
  </si>
  <si>
    <t>08800895</t>
  </si>
  <si>
    <t>08801077</t>
  </si>
  <si>
    <t>08801747</t>
  </si>
  <si>
    <t>08801058</t>
  </si>
  <si>
    <t>08801526</t>
  </si>
  <si>
    <t>08801518</t>
  </si>
  <si>
    <t>08801709</t>
  </si>
  <si>
    <t>08801808</t>
  </si>
  <si>
    <t>08801722</t>
  </si>
  <si>
    <t>08004328</t>
  </si>
  <si>
    <t>08801448</t>
  </si>
  <si>
    <t>08801090</t>
  </si>
  <si>
    <t>08801108</t>
  </si>
  <si>
    <t>08003226</t>
  </si>
  <si>
    <t>08800883</t>
  </si>
  <si>
    <t>08004326</t>
  </si>
  <si>
    <t>08801199</t>
  </si>
  <si>
    <t>08801362</t>
  </si>
  <si>
    <t>08003596</t>
  </si>
  <si>
    <t>08004763</t>
  </si>
  <si>
    <t>08801543</t>
  </si>
  <si>
    <t>08801227</t>
  </si>
  <si>
    <t>08800638</t>
  </si>
  <si>
    <t>08801196</t>
  </si>
  <si>
    <t>08801253</t>
  </si>
  <si>
    <t>08801730</t>
  </si>
  <si>
    <t>08801798</t>
  </si>
  <si>
    <t>08801455</t>
  </si>
  <si>
    <t>08801349</t>
  </si>
  <si>
    <t>08801209</t>
  </si>
  <si>
    <t>08801746</t>
  </si>
  <si>
    <t>08800848</t>
  </si>
  <si>
    <t>08800595</t>
  </si>
  <si>
    <t>08002719</t>
  </si>
  <si>
    <t>08801117</t>
  </si>
  <si>
    <t>08800609</t>
  </si>
  <si>
    <t>08801844</t>
  </si>
  <si>
    <t>08801346</t>
  </si>
  <si>
    <t>08801549</t>
  </si>
  <si>
    <t>08801807</t>
  </si>
  <si>
    <t>08801547</t>
  </si>
  <si>
    <t>08801818</t>
  </si>
  <si>
    <t>08801150</t>
  </si>
  <si>
    <t>08801083</t>
  </si>
  <si>
    <t>08004139</t>
  </si>
  <si>
    <t>08801774</t>
  </si>
  <si>
    <t>08801028</t>
  </si>
  <si>
    <t>08800847</t>
  </si>
  <si>
    <t>08801783</t>
  </si>
  <si>
    <t>08801308</t>
  </si>
  <si>
    <t>08800840</t>
  </si>
  <si>
    <t>08800832</t>
  </si>
  <si>
    <t>08801197</t>
  </si>
  <si>
    <t>08800914</t>
  </si>
  <si>
    <t>08801647</t>
  </si>
  <si>
    <t>08801472</t>
  </si>
  <si>
    <t>08801141</t>
  </si>
  <si>
    <t>08801097</t>
  </si>
  <si>
    <t>08801691</t>
  </si>
  <si>
    <t>08004891</t>
  </si>
  <si>
    <t>08801791</t>
  </si>
  <si>
    <t>08801134</t>
  </si>
  <si>
    <t>08801309</t>
  </si>
  <si>
    <t>08801454</t>
  </si>
  <si>
    <t>08801621</t>
  </si>
  <si>
    <t>08801272</t>
  </si>
  <si>
    <t>08801603</t>
  </si>
  <si>
    <t>08801769</t>
  </si>
  <si>
    <t>08801804</t>
  </si>
  <si>
    <t>08801752</t>
  </si>
  <si>
    <t>08801872</t>
  </si>
  <si>
    <t>08801873</t>
  </si>
  <si>
    <t>sy_users su</t>
  </si>
  <si>
    <t>sy_user_branches sub</t>
  </si>
  <si>
    <t>sy_perm_list spl</t>
  </si>
  <si>
    <t>muhammad.usama@fib.com.pk</t>
  </si>
  <si>
    <t>Naseer.khan@albaraka.com.pk</t>
  </si>
  <si>
    <t>areej.ahmed@zellbury.com</t>
  </si>
  <si>
    <t>uruba@skylinkdistribution.com</t>
  </si>
  <si>
    <t>irfan.faridi@waterdivision.com.pk</t>
  </si>
  <si>
    <t>madnan@ndctech.net</t>
  </si>
  <si>
    <t>farhankhan@unibrush.com</t>
  </si>
  <si>
    <t>KPK DEVELOPMENT &amp; MANAGEMENT COMPANY</t>
  </si>
  <si>
    <t>MI TECH SERVICES (SMC-PRIVATE) LIMITED</t>
  </si>
  <si>
    <t>SPARC</t>
  </si>
  <si>
    <t>08801893</t>
  </si>
  <si>
    <t>KHI/HO/D/HLGRP HEALTH/P/990/04/2021</t>
  </si>
  <si>
    <t>Onco Pharma</t>
  </si>
  <si>
    <t xml:space="preserve">Mr. Zahid Ali-Manager Human Resources </t>
  </si>
  <si>
    <t>zahid@oncopharma.org</t>
  </si>
  <si>
    <t>08801909</t>
  </si>
  <si>
    <t>KHI/HO/D/HLGRP HEALTH/P/997/04/2021</t>
  </si>
  <si>
    <t>Hospital Supply Corporation</t>
  </si>
  <si>
    <t>Jawaid Mughal</t>
  </si>
  <si>
    <t>jawaid.mughal@hsc.com.pk</t>
  </si>
  <si>
    <t>08801850</t>
  </si>
  <si>
    <t>Sheema Maaz</t>
  </si>
  <si>
    <t>KHI/HO/D/HLGRP HEALTH/P/831/03/2021</t>
  </si>
  <si>
    <t>Karachi Chambers of Commerce Industry</t>
  </si>
  <si>
    <t>Sohail Zakaria</t>
  </si>
  <si>
    <t>sohail.zakaria@kcci.com.pk</t>
  </si>
  <si>
    <t>088014512</t>
  </si>
  <si>
    <t>088014821</t>
  </si>
  <si>
    <t>Policy</t>
  </si>
  <si>
    <t>Client Name</t>
  </si>
  <si>
    <t>Agents</t>
  </si>
  <si>
    <t>ID</t>
  </si>
  <si>
    <t>User Password</t>
  </si>
  <si>
    <t>Salaam@123</t>
  </si>
  <si>
    <t>Naya Jeevan</t>
  </si>
  <si>
    <t>08801953</t>
  </si>
  <si>
    <t>KHI/HO/D/HLGRP HEALTH/P/1014/04/2021</t>
  </si>
  <si>
    <t>Soft Nation Technologies</t>
  </si>
  <si>
    <t>fahad@ormsystems.co.uk</t>
  </si>
  <si>
    <t>08801891</t>
  </si>
  <si>
    <t>D Team</t>
  </si>
  <si>
    <t>KHI/HO/D/HLGRP HEALTH/P/985/04/2021</t>
  </si>
  <si>
    <t>Javeria</t>
  </si>
  <si>
    <t>javeria@digitalgravity.ae</t>
  </si>
  <si>
    <t>08801964</t>
  </si>
  <si>
    <t>LHR/LHR/D/HLGRP HEALTH/P/1020/05/2021</t>
  </si>
  <si>
    <t>Kualitatem (Private) Limited</t>
  </si>
  <si>
    <t>khurram.sarwar@virtualforce.io</t>
  </si>
  <si>
    <t>Mr. Khurram Sarwar</t>
  </si>
  <si>
    <t>LHR/LHR/D/HLGRP HEALTH/P/1021/05/2021</t>
  </si>
  <si>
    <t>08800738</t>
  </si>
  <si>
    <t>NEXTBRIDGE (PRIVATE) LIMITED</t>
  </si>
  <si>
    <t>MR. HILAL/ZEESHAN HAIDER</t>
  </si>
  <si>
    <t>hr@nxb.com.pk</t>
  </si>
  <si>
    <t>08801961</t>
  </si>
  <si>
    <t>KHI/HO/D/HLGRP HEALTH/P/1019/05/2021</t>
  </si>
  <si>
    <t>Zishan Engineers (Private) Limited</t>
  </si>
  <si>
    <t>Riaz Gul</t>
  </si>
  <si>
    <t>accounts-1@zishanengineers.com</t>
  </si>
  <si>
    <t>08801296</t>
  </si>
  <si>
    <t>KHI/HO/D/HLGRP HEALTH/P/522/03/2020</t>
  </si>
  <si>
    <t>088006091</t>
  </si>
  <si>
    <t>KHI/HO/D/HLGRP HEALTH/P/1022/05/2021</t>
  </si>
  <si>
    <t>Rock Mars Industries Pvt. Limited</t>
  </si>
  <si>
    <t>Momal Fakhar</t>
  </si>
  <si>
    <t>08801222</t>
  </si>
  <si>
    <t>KHI/HO/D/HLGRP HEALTH/P/991/04/2021</t>
  </si>
  <si>
    <t>DECOJENT</t>
  </si>
  <si>
    <t>mohi@decojent.com</t>
  </si>
  <si>
    <t>Mohiuddin Parekh</t>
  </si>
  <si>
    <t>KHI/HO/D/HLGRP HEALTH/P/1025/05/2021</t>
  </si>
  <si>
    <t>Sapphire Consulting Services (Pvt) Ltd</t>
  </si>
  <si>
    <t>08801970</t>
  </si>
  <si>
    <t>Hassan Korejo</t>
  </si>
  <si>
    <t>hasan.korejo@sapphire.co</t>
  </si>
  <si>
    <t>KHI/HO/D/HLGRP HEALTH/P/1026/05/2021</t>
  </si>
  <si>
    <t>Convolair Private Limited</t>
  </si>
  <si>
    <t>08801968</t>
  </si>
  <si>
    <t>Salman Qamar</t>
  </si>
  <si>
    <t>salman.qamar@sapphire.co</t>
  </si>
  <si>
    <t>08802015</t>
  </si>
  <si>
    <t>KHI/HO/D/HLGRP HEALTH/P/1029/05/2021</t>
  </si>
  <si>
    <t>KAISPE</t>
  </si>
  <si>
    <t>Muhammad Qasim</t>
  </si>
  <si>
    <t>08802057</t>
  </si>
  <si>
    <t>rraza@aligarh.edu.pk</t>
  </si>
  <si>
    <t>KHI/HO/D/HLGRP HEALTH/P/1033/06/2021</t>
  </si>
  <si>
    <t>Aligarh Institute of Technology</t>
  </si>
  <si>
    <t>Rehan Raza</t>
  </si>
  <si>
    <t>08801888</t>
  </si>
  <si>
    <t xml:space="preserve">Salman Ahmed </t>
  </si>
  <si>
    <t>connect@tolaassociates.com</t>
  </si>
  <si>
    <t>KHI/HO/D/HLGRP HEALTH/P/983/04/2021</t>
  </si>
  <si>
    <t>Tola Associates</t>
  </si>
  <si>
    <t>KHI/HO/D/HLGRP HEALTH/P/1023/05/2021</t>
  </si>
  <si>
    <t>OOHLALA PAKISTAN (PRIVATE) LIMITED</t>
  </si>
  <si>
    <t>08801998</t>
  </si>
  <si>
    <t>Imran Haider</t>
  </si>
  <si>
    <t>imran.haider@readyeducation.com</t>
  </si>
  <si>
    <t>08801889</t>
  </si>
  <si>
    <t>Abdul Kareem</t>
  </si>
  <si>
    <t>ab.kareemshah@gmail.com</t>
  </si>
  <si>
    <t>PROCHECK</t>
  </si>
  <si>
    <t>KHI/HO/D/HLGRP HEALTH/P/982/04/2021</t>
  </si>
  <si>
    <t>LHR/LHR/D/HLGRP HEALTH/P/1006/04/2021</t>
  </si>
  <si>
    <t>08802058</t>
  </si>
  <si>
    <t>KHI/HO/D/HLGRP HEALTH/P/1034/06/2021</t>
  </si>
  <si>
    <t>Reboot Technology</t>
  </si>
  <si>
    <t>Khurram Aziz</t>
  </si>
  <si>
    <t>kaziz@trafix.com</t>
  </si>
  <si>
    <t>HEALTHTEST</t>
  </si>
  <si>
    <t>test</t>
  </si>
  <si>
    <t>KHI/HO/D/HLGRP HEALTH/P/987/04/2021</t>
  </si>
  <si>
    <t>08801720</t>
  </si>
  <si>
    <t>raheel.shaikh@salaamtakaful.com</t>
  </si>
  <si>
    <t>08802124</t>
  </si>
  <si>
    <t>KHI/HO/D/HLGRP HEALTH/P/1041/06/2021</t>
  </si>
  <si>
    <t>Pakistan International Freight Forwarders Association</t>
  </si>
  <si>
    <t>Mr. Farman Ahmed</t>
  </si>
  <si>
    <t>piffa-it@piffapk.com</t>
  </si>
  <si>
    <t>08000089</t>
  </si>
  <si>
    <t>080000891</t>
  </si>
  <si>
    <t>KHI/HO/D/HLGRP HEALTH/P/1054/06/2021</t>
  </si>
  <si>
    <t>KHI/HO/D/HLGRP HEALTH/P/1053/06/2021</t>
  </si>
  <si>
    <t>BANKISLAMI PAKISTAN LTD.</t>
  </si>
  <si>
    <t>BANKISLAMI PAKISTAN LTD. (CONTRACTUAL)</t>
  </si>
  <si>
    <t>Danish Mohiuddin</t>
  </si>
  <si>
    <t>danish.mohiuddin@bankislami.com.pk</t>
  </si>
  <si>
    <t>08802217</t>
  </si>
  <si>
    <t>KHI/HO/D/HLGRP HEALTH/P/1070/07/2021</t>
  </si>
  <si>
    <t>Take 4 Media</t>
  </si>
  <si>
    <t>Salahuddin Khan</t>
  </si>
  <si>
    <t>sierratextiles@gmail.com</t>
  </si>
  <si>
    <t>08802216</t>
  </si>
  <si>
    <t>Sierra Textiles &amp; Fabrics (Private) Limited</t>
  </si>
  <si>
    <t>KHI/HO/D/HLGRP HEALTH/P/1069/06/2021</t>
  </si>
  <si>
    <t>08002595</t>
  </si>
  <si>
    <t>Cirrus International (Pvt.) Ltd</t>
  </si>
  <si>
    <t>KHI/HO/D/HLGRPHEALTH/P/1067/07/2021</t>
  </si>
  <si>
    <t>Farid Khan</t>
  </si>
  <si>
    <t>farid.khan@cirrus-intl.com</t>
  </si>
  <si>
    <t>08802204</t>
  </si>
  <si>
    <t>KHI/HO/D/HLGRP HEALTH/P/1066/06/2021</t>
  </si>
  <si>
    <t>ZAVIA Architecture</t>
  </si>
  <si>
    <t xml:space="preserve">Mohammad Mohsin Sidi Ali </t>
  </si>
  <si>
    <t>finance@zavia.com.pk</t>
  </si>
  <si>
    <t>08801541</t>
  </si>
  <si>
    <t>088015411</t>
  </si>
  <si>
    <t>Dhoraji Association (My Cover)</t>
  </si>
  <si>
    <t>Rameez Mehboob</t>
  </si>
  <si>
    <t>rameez.mehboob@salaamtakaful.com</t>
  </si>
  <si>
    <t>Dhoraji Association (My Family)</t>
  </si>
  <si>
    <t>08802248</t>
  </si>
  <si>
    <t>KHI/HO/D/HLGRP HEALTH/P/1080/06/2021</t>
  </si>
  <si>
    <t>Arif Habib Limited</t>
  </si>
  <si>
    <t>Khurram Morris</t>
  </si>
  <si>
    <t>khurram.morris@arifhabibltd.com</t>
  </si>
  <si>
    <t>08802225</t>
  </si>
  <si>
    <t>KHI/HO/D/HLGRP HEALTH/P/1073/06/2021</t>
  </si>
  <si>
    <t>Engineering Consultants International Limited</t>
  </si>
  <si>
    <t>Dania Razi</t>
  </si>
  <si>
    <t>dania.razi@ecil.com</t>
  </si>
  <si>
    <t>088022551</t>
  </si>
  <si>
    <t>KHI/HO/D/HLGRP HEALTH/P/1085/07/2021</t>
  </si>
  <si>
    <t>Hameem Foods Solutions</t>
  </si>
  <si>
    <t> Ghulam Qadir</t>
  </si>
  <si>
    <t> ghulam.qadir@hfs.com.pk</t>
  </si>
  <si>
    <t>08802251</t>
  </si>
  <si>
    <t>ISD/ISD/D/HLGRP HEALTH/P/1086/07/2021</t>
  </si>
  <si>
    <t>Alpha Aviation</t>
  </si>
  <si>
    <t> Shahzad</t>
  </si>
  <si>
    <t> accounts@alphaaviationsltd.com</t>
  </si>
  <si>
    <t>08802181</t>
  </si>
  <si>
    <t>KHI/HO/D/HLGRP HEALTH/P/1056/06/2021</t>
  </si>
  <si>
    <t>Orient Oil (Pvt) Limited</t>
  </si>
  <si>
    <t>babar@orient-power.com</t>
  </si>
  <si>
    <t xml:space="preserve">M. A. BABAR-General Manager </t>
  </si>
  <si>
    <t>08802285</t>
  </si>
  <si>
    <t>KHI/HO/D/HLGRP HEALTH/P/1088/07/2021</t>
  </si>
  <si>
    <t>Recorder Television Network (Pvt) Ltd (AAJ News)</t>
  </si>
  <si>
    <t>Fareha Laiq</t>
  </si>
  <si>
    <t>fareha.laiq@aaj.tv</t>
  </si>
  <si>
    <t>KHI/HO/D/HLGRP HEALTH/P/1092/07/2021</t>
  </si>
  <si>
    <t>08801179</t>
  </si>
  <si>
    <t>KHI/HO/D/HLGRP HEALTH/P/1052/06/2021</t>
  </si>
  <si>
    <t>NOVARTIS PHARMA (PAKISTAN) LIMITED</t>
  </si>
  <si>
    <t>syed_aqeel.ahmed@novartis.com</t>
  </si>
  <si>
    <t>Syed Aqeel Ahmed</t>
  </si>
  <si>
    <t>KHI/HO/D/HLGRP HEALTH/P/1047/06/2021</t>
  </si>
  <si>
    <t>KHI/HO/D/HLGRP HEALTH/P/1046/06/2021</t>
  </si>
  <si>
    <t>KHI/HO/D/HLGRP HEALTH/P/1049/06/2021</t>
  </si>
  <si>
    <t>088007201</t>
  </si>
  <si>
    <t>E-Access (Pvt) Ltd (Contractual)</t>
  </si>
  <si>
    <t>08802268</t>
  </si>
  <si>
    <t>KHI/HO/D/HLGRP HEALTH/P/1087/07/2021</t>
  </si>
  <si>
    <t>Muhamamd Aleem</t>
  </si>
  <si>
    <t>aleem@rni.com.pk</t>
  </si>
  <si>
    <t>R and I Electrical Appliances (Pvt) Ltd</t>
  </si>
  <si>
    <t>08802343</t>
  </si>
  <si>
    <t>KHI/HO/D/HLGRP HEALTH/P/1099/08/2021</t>
  </si>
  <si>
    <t>MIMA KNIT (PRIVATE) LIMITED</t>
  </si>
  <si>
    <t>hr@mimaknit.com</t>
  </si>
  <si>
    <t>Muhammad Rameez</t>
  </si>
  <si>
    <t>08802160</t>
  </si>
  <si>
    <t>srt.vds@gmail.com</t>
  </si>
  <si>
    <t>KHI/HO/D/HLGRP HEALTH/P/1055/06/2021</t>
  </si>
  <si>
    <t>Rashid Iqbal</t>
  </si>
  <si>
    <t>S.R TRADERS</t>
  </si>
  <si>
    <t>08802393</t>
  </si>
  <si>
    <t>KHI/HO/D/HLGRP HEALTH/P/1108/08/2021</t>
  </si>
  <si>
    <t>Pakistan Synthetics Limited</t>
  </si>
  <si>
    <t>Karim Lakhani</t>
  </si>
  <si>
    <t>karim.lakhani@pslpet.com</t>
  </si>
  <si>
    <t>08802325</t>
  </si>
  <si>
    <t>KHI/HO/D/HLGRP HEALTH/P/1094/07/2021</t>
  </si>
  <si>
    <t>Sindh Madresatul Islam University</t>
  </si>
  <si>
    <t>Kashif Jan</t>
  </si>
  <si>
    <t>kashifjan@smiu.edu.pk</t>
  </si>
  <si>
    <t>08802369</t>
  </si>
  <si>
    <t>KHI/HO/D/HLGRP HEALTH/P/1107/08/2021</t>
  </si>
  <si>
    <t>The Institute of Chartered Accountants of Pakistan-Benevolent Fund</t>
  </si>
  <si>
    <t>Syed Rahil Ahmed</t>
  </si>
  <si>
    <t>bfund@icap.org.pk</t>
  </si>
  <si>
    <t>KHI/HO/D/HLGRP HEALTH/P/1110/08/2021</t>
  </si>
  <si>
    <t>08802226</t>
  </si>
  <si>
    <t>KHI/HO/D/HLGRP HEALTH/P/1071/06/2021</t>
  </si>
  <si>
    <t>Iqvia Solutions Pakistan (Private) Limited</t>
  </si>
  <si>
    <t>08802411</t>
  </si>
  <si>
    <t>08802412</t>
  </si>
  <si>
    <t>08802410</t>
  </si>
  <si>
    <t>KHI/HO/D/HLGRP HEALTH/P/1114/08/2021</t>
  </si>
  <si>
    <t>KHI/HO/D/HLGRP HEALTH/P/1115/08/2021</t>
  </si>
  <si>
    <t>KHI/HO/D/HLGRP HEALTH/P/1113/08/2021</t>
  </si>
  <si>
    <t>The Looks (Pvt.) Limited</t>
  </si>
  <si>
    <t>W. Woodward Pakistan (Private) Limited</t>
  </si>
  <si>
    <t>LE Mendoza Pharmaceutical (Private) Limited</t>
  </si>
  <si>
    <t>09000308</t>
  </si>
  <si>
    <t>medical.mgc@mgcpakistan.com</t>
  </si>
  <si>
    <t>Arif Abdul Khalique</t>
  </si>
  <si>
    <t>KHI/HO/D/HLGRP HEALTH/P/1096/08/2021</t>
  </si>
  <si>
    <t>08802297</t>
  </si>
  <si>
    <t>ISD/ISD/D/HLGRP HEALTH/P/1089/07/2021</t>
  </si>
  <si>
    <t>Canteen Stores Department (CSD)</t>
  </si>
  <si>
    <t>Mr. Javed Iqbal</t>
  </si>
  <si>
    <t>javed.iqbal@csd.gov.pk</t>
  </si>
  <si>
    <t>08802344</t>
  </si>
  <si>
    <t>09000266</t>
  </si>
  <si>
    <t>KHI/HO/D/HLGRP HEALTH/P/1100/08/2021</t>
  </si>
  <si>
    <t>UDL Distribution (Private) Limited</t>
  </si>
  <si>
    <t>subhan.uddin@udld.biz</t>
  </si>
  <si>
    <t xml:space="preserve">Subhan Uddin </t>
  </si>
  <si>
    <t>08802354</t>
  </si>
  <si>
    <t>KHI/HO/D/HLGRP HEALTH/P/1102/08/2021</t>
  </si>
  <si>
    <t>Nagaria Textile Mills (Private) Limited</t>
  </si>
  <si>
    <t>Waqas Rehman</t>
  </si>
  <si>
    <t>waqas.rehman@nagariatextiles.com</t>
  </si>
  <si>
    <t>08802203</t>
  </si>
  <si>
    <t>KHI/HO/D/HLGRP HEALTH/P/1065/06/2021</t>
  </si>
  <si>
    <t>Zaman Textile Mills (Pvt) Ltd</t>
  </si>
  <si>
    <t>Shehryar Javed</t>
  </si>
  <si>
    <t>shehryar@zamantextile.com</t>
  </si>
  <si>
    <t>08802202</t>
  </si>
  <si>
    <t>KHI/HO/D/HLGRP HEALTH/P/1064/06/2021</t>
  </si>
  <si>
    <t>Premier Sales (Private) Limited</t>
  </si>
  <si>
    <t>Ali Asghar</t>
  </si>
  <si>
    <t>ali.asghar@premiergroup.com.pk</t>
  </si>
  <si>
    <t>08802435</t>
  </si>
  <si>
    <t>KHI/HO/D/HLGRP HEALTH/P/1116/08/2021</t>
  </si>
  <si>
    <t>IT Republican</t>
  </si>
  <si>
    <t>Arsalan Khan</t>
  </si>
  <si>
    <t>arsalan@itrepublican.com</t>
  </si>
  <si>
    <t>08802545</t>
  </si>
  <si>
    <t>KHI/HO/D/HLGRP HEALTH/P/1152/09/2021</t>
  </si>
  <si>
    <t>N.K Contractors</t>
  </si>
  <si>
    <t>08802460</t>
  </si>
  <si>
    <t>KHI/HO/D/HLGRP HEALTH/P/1153/09/2021</t>
  </si>
  <si>
    <t>Pak Tectonic Services (Pvt.) Limited</t>
  </si>
  <si>
    <t xml:space="preserve">Johar Rizvi </t>
  </si>
  <si>
    <t>johar.rizvi@gettectonic.com</t>
  </si>
  <si>
    <t>Tarteel Ahmed Ansari</t>
  </si>
  <si>
    <t>KHI/HO/D/HLGRP HEALTH/P/1104/08/2021</t>
  </si>
  <si>
    <t>08800899</t>
  </si>
  <si>
    <t>KHI/HO/D/HLGRP HEALTH/P/1158/09/2021</t>
  </si>
  <si>
    <t>hr@unicongroup.com.pk</t>
  </si>
  <si>
    <t>Mr. Saad</t>
  </si>
  <si>
    <t>UNICON INTERNATIONAL (PVT) LIMITED</t>
  </si>
  <si>
    <t>08802539</t>
  </si>
  <si>
    <t>KHI/HO/D/HLGRP HEALTH/P/1150/09/2021</t>
  </si>
  <si>
    <t>OSSOLS (PRIVATE) LIMITED</t>
  </si>
  <si>
    <t>Sania Amir</t>
  </si>
  <si>
    <t>sana.amir@ossols.com</t>
  </si>
  <si>
    <t>08802373</t>
  </si>
  <si>
    <t>KHI/HO/D/HLGRP HEALTH/P/1106/08/2021</t>
  </si>
  <si>
    <t>Muslim Welfare Centre (Trust)</t>
  </si>
  <si>
    <t>kahmed@mwcanada.org</t>
  </si>
  <si>
    <t>08802643</t>
  </si>
  <si>
    <t>KHI/HO/D/HLGRP HEALTH/P/1172/09/2021</t>
  </si>
  <si>
    <t>Islamabad Industrial &amp; Trading Corporation</t>
  </si>
  <si>
    <t>Syed Rashid Ahmed</t>
  </si>
  <si>
    <t>HR dept hrdept.elv@gmail.com</t>
  </si>
  <si>
    <t>KHI/HO/D/HLGRP HEALTH/P/1140/09/2021</t>
  </si>
  <si>
    <t>08802449</t>
  </si>
  <si>
    <t>KHI/HO/D/HLGRP HEALTH/P/1122/08/2021</t>
  </si>
  <si>
    <t>KHI/HO/D/HLGRP HEALTH/P/1123/08/2021</t>
  </si>
  <si>
    <t>KHI/HO/D/HLGRP HEALTH/P/1124/08/2021</t>
  </si>
  <si>
    <t>KHI/HO/D/HLGRP HEALTH/P/1147/09/2021</t>
  </si>
  <si>
    <t>KHI/HO/D/HLGRP HEALTH/P/1125/08/2021</t>
  </si>
  <si>
    <t>KHI/HO/D/HLGRP HEALTH/P/1126/08/2021</t>
  </si>
  <si>
    <t>KHI/HO/D/HLGRP HEALTH/P/1127/08/2021</t>
  </si>
  <si>
    <t>KHI/HO/D/HLGRP HEALTH/P/1121/08/2021</t>
  </si>
  <si>
    <t>KHI/HO/D/HLGRP HEALTH/P/1129/08/2021</t>
  </si>
  <si>
    <t>KHI/HO/D/HLGRP HEALTH/P/1128/08/2021</t>
  </si>
  <si>
    <t>KHI/HO/D/HLGRP HEALTH/P/1130/08/2021</t>
  </si>
  <si>
    <t>KHI/HO/D/HLGRP HEALTH/P/1131/08/2021</t>
  </si>
  <si>
    <t>KHI/HO/D/HLGRP HEALTH/P/1132/08/2021</t>
  </si>
  <si>
    <t>Bulk Management (Pakistan) Private Limited</t>
  </si>
  <si>
    <t>CAS Management (Private) Limited</t>
  </si>
  <si>
    <t>Concordia Enterprises (Private) Limited</t>
  </si>
  <si>
    <t>Double Tree Enterprises</t>
  </si>
  <si>
    <t>F&amp;B Bulk Storage (Pvt) Limited</t>
  </si>
  <si>
    <t>FKW Global Commodities (Private) Limited</t>
  </si>
  <si>
    <t>FWQ Enterprises (Private) Limited</t>
  </si>
  <si>
    <t>MAPAK EDIBLE OILS (PRIVATE) LIMITED</t>
  </si>
  <si>
    <t>Shakoo (Private) Limited</t>
  </si>
  <si>
    <t>MAPAK Qasim Bulkers (Private) Limited</t>
  </si>
  <si>
    <t>Sofian Business Corporation (Pvt) Limited</t>
  </si>
  <si>
    <t>Trading Enterprises (Private) Limited</t>
  </si>
  <si>
    <t>WestBury Private Limited</t>
  </si>
  <si>
    <t>hammad.iqbal@fib.com.pk</t>
  </si>
  <si>
    <t>Hammad Iqbal</t>
  </si>
  <si>
    <t>08801947</t>
  </si>
  <si>
    <t>08801960</t>
  </si>
  <si>
    <t>ISD/ISD/D/HLGRP HEALTH/P/1016/04/2021</t>
  </si>
  <si>
    <t>Islamabad Diagnostic Centre (Pvt.) Limited</t>
  </si>
  <si>
    <t>TRANSKARACHI</t>
  </si>
  <si>
    <t>KHI/HO/D/HLGRP HEALTH/P/1059/06/2021'</t>
  </si>
  <si>
    <t>KHI/HO/D/HLGRP HEALTH/P/1044/06/2021</t>
  </si>
  <si>
    <t>088011801</t>
  </si>
  <si>
    <t xml:space="preserve">'Fasih Ahmed' </t>
  </si>
  <si>
    <t>08802442</t>
  </si>
  <si>
    <t>KHI/HO/D/HLGRP HEALTH/P/1185/09/2021</t>
  </si>
  <si>
    <t>Oceanic Star Line Pvt. Ltd.</t>
  </si>
  <si>
    <t>Abdullah Uzair</t>
  </si>
  <si>
    <t xml:space="preserve">adm.exe.ho@star-liners.com </t>
  </si>
  <si>
    <t>08802209</t>
  </si>
  <si>
    <t>KHI/HO/D/HLGRP HEALTH/P/1068/06/2021</t>
  </si>
  <si>
    <t>Irfanullah Afridi Enterprises (Pvt) Limited</t>
  </si>
  <si>
    <t>Irfanullah Khan</t>
  </si>
  <si>
    <t>irfanullahkhanafridi@yahoo.com</t>
  </si>
  <si>
    <t>08802478</t>
  </si>
  <si>
    <t>KHI/HO/D/HLGRP HEALTH/P/1143/09/2021</t>
  </si>
  <si>
    <t>Tree House Exatex (Pvt) Ltd (AION Group)</t>
  </si>
  <si>
    <t>Yasir Shafique</t>
  </si>
  <si>
    <t>yasir.shafique@treehouseconsultancy.com</t>
  </si>
  <si>
    <t>`</t>
  </si>
  <si>
    <t>08802081</t>
  </si>
  <si>
    <t>KHI/HO/D/HLGRP HEALTH/P/1035/06/2021</t>
  </si>
  <si>
    <t>Taskeen Health Initiative</t>
  </si>
  <si>
    <t>Hamza Zia</t>
  </si>
  <si>
    <t>hamza@taskeen.org</t>
  </si>
  <si>
    <t>08802189</t>
  </si>
  <si>
    <t>KHI/HO/D/HLGRP HEALTH/P/1061/06/2021</t>
  </si>
  <si>
    <t>Pak Grease Manufacturing Company (Pvt) Limited</t>
  </si>
  <si>
    <t>Saud Ahmed</t>
  </si>
  <si>
    <t>saud.ahmed@pakgrease.com.pk</t>
  </si>
  <si>
    <t>08802247</t>
  </si>
  <si>
    <t>KHI/HO/D/HLGRP HEALTH/P/1203/10/2021</t>
  </si>
  <si>
    <t>SACHAL INTERNATIONAL (PVT) LIMITED</t>
  </si>
  <si>
    <t>KHI/HO/D/HLGRP HEALTH/P/1156/09/2021</t>
  </si>
  <si>
    <t>08802795</t>
  </si>
  <si>
    <t>IFCONDITION (SMC-PRIVATE) LIMITED</t>
  </si>
  <si>
    <t>Talha Nasir Khan</t>
  </si>
  <si>
    <t>hrmanager@ifcondition.com</t>
  </si>
  <si>
    <t>KHI/HO/D/HLGRP HEALTH/P/1202/10/2021</t>
  </si>
  <si>
    <t>08802428</t>
  </si>
  <si>
    <t>KHI/HO/D/HLGRP HEALTH/P/1111/08/2021</t>
  </si>
  <si>
    <t>Shayan Ahmed</t>
  </si>
  <si>
    <t>SILICONPLEX</t>
  </si>
  <si>
    <t>s.ahmed.siliconplex@gmail.com</t>
  </si>
  <si>
    <t>08004285</t>
  </si>
  <si>
    <t>KHI/HO/D/HLGRP HEALTH/P/988/04/2021</t>
  </si>
  <si>
    <t>LUCKY IMPEX</t>
  </si>
  <si>
    <t xml:space="preserve">Muhammad Dilawar </t>
  </si>
  <si>
    <t>accounts@luckyimpex.com </t>
  </si>
  <si>
    <t>08802859</t>
  </si>
  <si>
    <t>KHI/HO/D/HLGRP HEALTH/P/1209/10/2021</t>
  </si>
  <si>
    <t>HUB LEATHER (PRIVATE) LIMITED</t>
  </si>
  <si>
    <t>admin@hubleather.com</t>
  </si>
  <si>
    <t xml:space="preserve">Muhammad Nafees </t>
  </si>
  <si>
    <t>08802858</t>
  </si>
  <si>
    <t>KHI/HO/D/HLGRP HEALTH/P/1208/10/2021</t>
  </si>
  <si>
    <t>REHMAT-E-SHEREEN</t>
  </si>
  <si>
    <t>Jawad Shaukat</t>
  </si>
  <si>
    <t>jawad.shaukat@rehmateshereen.com</t>
  </si>
  <si>
    <t>08801294</t>
  </si>
  <si>
    <t>ISD/ISD/D/HLGRP HEALTH/P/526/03/2020</t>
  </si>
  <si>
    <t>PROPAKISTANI SOLUTIONS (PRIVATE) LIMITED</t>
  </si>
  <si>
    <t>HAMID CHOHAN</t>
  </si>
  <si>
    <t>hamid.chohan@propakistani.pk</t>
  </si>
  <si>
    <t>08801207</t>
  </si>
  <si>
    <t>LHR/LHR/D/HLGRP HEALTH/P/1010/04/2021</t>
  </si>
  <si>
    <t>Airlift Technologies (Pvt) Ltd</t>
  </si>
  <si>
    <t>abishay@airlifttech.com</t>
  </si>
  <si>
    <t xml:space="preserve">Abishay Gill </t>
  </si>
  <si>
    <t>08803092</t>
  </si>
  <si>
    <t>KHI/HO/D/HLGRP HEALTH/P/1229/11/2021</t>
  </si>
  <si>
    <t>Indus Valley Labs (Pvt) Ltd</t>
  </si>
  <si>
    <t>Danish Farooqui</t>
  </si>
  <si>
    <t>danish.farooqui@indusvalleylabs.com</t>
  </si>
  <si>
    <t>08802750</t>
  </si>
  <si>
    <t>KHI/HO/D/HLGRP HEALTH/P/1221/10/2021</t>
  </si>
  <si>
    <t>TASK HUB (SMC-PRIVATE) LIMITED</t>
  </si>
  <si>
    <t>alameera@get-licensed.co.uk</t>
  </si>
  <si>
    <t>Ms. Alameera Noon</t>
  </si>
  <si>
    <t>KHI/HO/D/HLGRP HEALTH/P/1062/06/2021</t>
  </si>
  <si>
    <t>08801940</t>
  </si>
  <si>
    <t>KHI/HO/D/HLGRP HEALTH/P/1098/08/2021</t>
  </si>
  <si>
    <t>NKC (SMC - PVT) LTD</t>
  </si>
  <si>
    <t>Muhammad Sumair</t>
  </si>
  <si>
    <t>muhammad.sumair@nkc.org.pk</t>
  </si>
  <si>
    <t>08803254</t>
  </si>
  <si>
    <t>KHI/HO/D/HLGRP HEALTH/P/1264/11/2021</t>
  </si>
  <si>
    <t>Honda Drive-In</t>
  </si>
  <si>
    <t>Aadil Patel</t>
  </si>
  <si>
    <t>adil.sales@hondaquideen.com &lt;</t>
  </si>
  <si>
    <t>08803253</t>
  </si>
  <si>
    <t>KHI/HO/D/HLGRP HEALTH/P/1263/11/2021</t>
  </si>
  <si>
    <t>Honda Quaideen</t>
  </si>
  <si>
    <t>Muhammad Raheel</t>
  </si>
  <si>
    <t>raheel_malla@hotmail.com</t>
  </si>
  <si>
    <t>08803304</t>
  </si>
  <si>
    <t>KHI/HO/D/HLGRP HEALTH/P/1303/12/2021</t>
  </si>
  <si>
    <t>Mazars Consulting Pakistan (Private) Limited</t>
  </si>
  <si>
    <t>Manoj Kumar</t>
  </si>
  <si>
    <t>admin@mazars.pk</t>
  </si>
  <si>
    <t>KHI/HO/D/HLGRP HEALTH/P/1258/11/2021</t>
  </si>
  <si>
    <t>KHI/HO/D/HLGRP HEALTH/P/1228/11/2021</t>
  </si>
  <si>
    <t>08803457</t>
  </si>
  <si>
    <t>KHI/HO/D/HLGRP HEALTH/P/1304/12/2021</t>
  </si>
  <si>
    <t>Shamsi Health Foundation</t>
  </si>
  <si>
    <t>Anas Raja Shamsi</t>
  </si>
  <si>
    <t>shamsifoundation@gmail.com</t>
  </si>
  <si>
    <t>08803432</t>
  </si>
  <si>
    <t>KHI/HO/D/HLGRP HEALTH/P/1302/12/2021</t>
  </si>
  <si>
    <t>CHEMI EQUIP SOLUTIONS</t>
  </si>
  <si>
    <t>Hanif Ansari</t>
  </si>
  <si>
    <t>'hanif.ansari@ces-pk.com'</t>
  </si>
  <si>
    <t>08802619</t>
  </si>
  <si>
    <t>ISD/ISD/D/HLGRP HEALTH/P/1175/09/2021</t>
  </si>
  <si>
    <t>TRUCK IT IN (PRIVATE) LIMITED</t>
  </si>
  <si>
    <t>Shirin Minwalla</t>
  </si>
  <si>
    <t>shirin@rmspk.com</t>
  </si>
  <si>
    <t>08803201</t>
  </si>
  <si>
    <t>KHI/HO/D/HLGRP HEALTH/P/1259/11/2021</t>
  </si>
  <si>
    <t>Haris Javed</t>
  </si>
  <si>
    <t xml:space="preserve">haris.javed@tradewheel.com </t>
  </si>
  <si>
    <t>sharjeel_parekh@hotmail.com</t>
  </si>
  <si>
    <t>Sharjeel</t>
  </si>
  <si>
    <t>KHI/HO/D/HLGRP HEALTH/P/1292/12/2021</t>
  </si>
  <si>
    <t>08803392</t>
  </si>
  <si>
    <t>08003263</t>
  </si>
  <si>
    <t>KHI/HO/D/HLGRP HEALTH/P/1322/12/2021</t>
  </si>
  <si>
    <t>HOORA PHARMA</t>
  </si>
  <si>
    <t>Bilal Alam</t>
  </si>
  <si>
    <t>bilal@hoorapharma.com</t>
  </si>
  <si>
    <t>08803490</t>
  </si>
  <si>
    <t>KHI/HO/D/HLGRP HEALTH/P/1305/12/2021</t>
  </si>
  <si>
    <t>Asia TA (Private) Limited</t>
  </si>
  <si>
    <t>Danish Khan danish.khan@techaccess.com</t>
  </si>
  <si>
    <t>Penn Steel Fabrication Inc.</t>
  </si>
  <si>
    <t>Muhammad Hassan Arif hassan.a@pennsteel.com</t>
  </si>
  <si>
    <t>Muhammad Hassan Arif</t>
  </si>
  <si>
    <t>Danish Khan</t>
  </si>
  <si>
    <t>KHI/HO/D/HLGRP HEALTH/P/1354/12/2021</t>
  </si>
  <si>
    <t>088017981</t>
  </si>
  <si>
    <t>08803912</t>
  </si>
  <si>
    <t>KHI/HO/D/HLGRP HEALTH/P/1372/01/2022</t>
  </si>
  <si>
    <t>Haball (Private) Limited</t>
  </si>
  <si>
    <t>Ms. Asifa Khan</t>
  </si>
  <si>
    <t>asifa.noman@haball.pk</t>
  </si>
  <si>
    <t>08804076</t>
  </si>
  <si>
    <t>KHI/HO/D/HLGRP HEALTH/P/1382/01/2022</t>
  </si>
  <si>
    <t>Ayoob Textile Mills Limited</t>
  </si>
  <si>
    <t>Ahmed</t>
  </si>
  <si>
    <t>'Accounts Department' accounts@ayoobtextile.com</t>
  </si>
  <si>
    <t>KHI/HO/D/HLGRP HEALTH/P/1395/01/2022</t>
  </si>
  <si>
    <t>KHI/HO/D/HLGRP HEALTH/P/1351/12/2021</t>
  </si>
  <si>
    <t>08804386</t>
  </si>
  <si>
    <t>KHI/HO/D/HLGRP HEALTH/P/1409/02/2022</t>
  </si>
  <si>
    <t>Jinshan Chemical Technology (Private) Limited</t>
  </si>
  <si>
    <t>accountpk1@jinshanchemical.com</t>
  </si>
  <si>
    <t>08803957</t>
  </si>
  <si>
    <t>KHI/HO/D/HLGRP HEALTH/P/1398/02/2022</t>
  </si>
  <si>
    <t>Dynamic Shipping Agencies (Private) Limited</t>
  </si>
  <si>
    <t>Fahad Khatri</t>
  </si>
  <si>
    <t>fahad.khatri@dwwlg.com</t>
  </si>
  <si>
    <t>08804553</t>
  </si>
  <si>
    <t>Advanced Laboratories (Private) Limited</t>
  </si>
  <si>
    <t>KHI/HO/D/HLGRP HEALTH/P/1429/02/2022</t>
  </si>
  <si>
    <t>Suraya Ali</t>
  </si>
  <si>
    <t>suraya.ali@advancedhealth.com.pk</t>
  </si>
  <si>
    <t>08804467</t>
  </si>
  <si>
    <t>KHI/HO/D/HLGRP HEALTH/P/1427/02/2022</t>
  </si>
  <si>
    <t>Apparel Merchandising Services</t>
  </si>
  <si>
    <t>Syeda Aqsa</t>
  </si>
  <si>
    <t>syedaaqsa@ams-org.com</t>
  </si>
  <si>
    <t>08804671</t>
  </si>
  <si>
    <t>Shahid Afridi Foundation</t>
  </si>
  <si>
    <t>KHI/HO/D/HLGRP HEALTH/P/1442/02/2022</t>
  </si>
  <si>
    <t>Umair Ahmed</t>
  </si>
  <si>
    <t>umair.ahmed@shahidafridifoundation.org</t>
  </si>
  <si>
    <t>08804669</t>
  </si>
  <si>
    <t>KHI/HO/D/HLGRP HEALTH/P/1441/02/2022</t>
  </si>
  <si>
    <t>5 STAR DESIGNERS</t>
  </si>
  <si>
    <t>Rushna Khan</t>
  </si>
  <si>
    <t>hr@code-avenue.com</t>
  </si>
  <si>
    <t>08804249</t>
  </si>
  <si>
    <t>KHI/HO/D/HLGRP HEALTH/P/1435/02/2022</t>
  </si>
  <si>
    <t>N N TECHNOLOGIES</t>
  </si>
  <si>
    <t>ramsha@scalemill.com</t>
  </si>
  <si>
    <t xml:space="preserve">Ramsha Ali </t>
  </si>
  <si>
    <t>08804017</t>
  </si>
  <si>
    <t>08804012</t>
  </si>
  <si>
    <t>KHI/HO/D/HLGRP HEALTH/P/1383/01/2022</t>
  </si>
  <si>
    <t>KHI/HO/D/HLGRP HEALTH/P/1376/01/2022</t>
  </si>
  <si>
    <t>Alfa Adhi Securities (Private) Limited</t>
  </si>
  <si>
    <t>Jehangir jehangir@alfaadhi.pk</t>
  </si>
  <si>
    <t>Technical Enterprises</t>
  </si>
  <si>
    <t>Ali Kausar alikausar157@gmail.com</t>
  </si>
  <si>
    <t xml:space="preserve">Jehangir </t>
  </si>
  <si>
    <t xml:space="preserve">Ali Kausar </t>
  </si>
  <si>
    <t>KHI/HO/D/HLGRP HEALTH/P/1425/02/2022</t>
  </si>
  <si>
    <t>KHI/HO/D/HLGRP HEALTH/P/1423/02/2022</t>
  </si>
  <si>
    <t>KHI/HO/D/HLGRP HEALTH/P/1424/02/2022</t>
  </si>
  <si>
    <t>KHI/HO/D/HLGRP HEALTH/P/1450/02/2022</t>
  </si>
  <si>
    <t>MARVEL ENTERPRISE</t>
  </si>
  <si>
    <t>H.Z.M. Marmi &amp; Pietre (SMC-Private) Limited</t>
  </si>
  <si>
    <t>Miracle Minerals SMC (Private) Limited</t>
  </si>
  <si>
    <t>Hashmove Pakistan (Private) Limited</t>
  </si>
  <si>
    <t xml:space="preserve">Syed Misbah Uddin </t>
  </si>
  <si>
    <t>Syed Misbah Uddin s.misbah@miracleminerals.com.pk</t>
  </si>
  <si>
    <t>'Haseeb Ahmed' haseeb@hashmove.com</t>
  </si>
  <si>
    <t>08804423</t>
  </si>
  <si>
    <t>08804424</t>
  </si>
  <si>
    <t>08804425</t>
  </si>
  <si>
    <t>08804673</t>
  </si>
  <si>
    <t>Haseeb Ahmed</t>
  </si>
  <si>
    <t>KHI/HO/D/HLGRP HEALTH/P/1440/02/2022</t>
  </si>
  <si>
    <t>08804696</t>
  </si>
  <si>
    <t>KHI/HO/D/HLGRP HEALTH/P/1449/02/2022</t>
  </si>
  <si>
    <t>Tabros Pharma (Pvt) Limited</t>
  </si>
  <si>
    <t xml:space="preserve">Ahmed Hassan </t>
  </si>
  <si>
    <t>ahmed.hassan@tabrospharma.com</t>
  </si>
  <si>
    <t>08803735</t>
  </si>
  <si>
    <t>KHI/HO/D/HLGRP HEALTH/P/1342/12/2021</t>
  </si>
  <si>
    <t>Woodward Herbal Laboratories Private Limited</t>
  </si>
  <si>
    <t>:  medical.mgc@mgcpakistan.com</t>
  </si>
  <si>
    <t>Mr. Arif Abdul Khalique</t>
  </si>
  <si>
    <t>08804739</t>
  </si>
  <si>
    <t>KHI/HO/D/HLGRP HEALTH/P/1446/02/2022</t>
  </si>
  <si>
    <t>ForeePay (Private) Limited</t>
  </si>
  <si>
    <t>Fatima Shuhab</t>
  </si>
  <si>
    <t>sfatima@foree.co</t>
  </si>
  <si>
    <t>08804337</t>
  </si>
  <si>
    <t>KHI/HO/D/HLGRP HEALTH/P/1426/02/2022</t>
  </si>
  <si>
    <t>THE D HAMIDI PARTNERSHIP (PVT.) LTD</t>
  </si>
  <si>
    <t>Faisal Razzaq</t>
  </si>
  <si>
    <t>faisalrazzaq@dhamidi.com</t>
  </si>
  <si>
    <t>08804898</t>
  </si>
  <si>
    <t>KHI/HO/D/HLGRP HEALTH/P/1455/03/2022</t>
  </si>
  <si>
    <t>Cybex Technologies Integrated (Private) Limited</t>
  </si>
  <si>
    <t>Majid Mateen</t>
  </si>
  <si>
    <t>majid_mateen@hotmail.com</t>
  </si>
  <si>
    <t>08804785</t>
  </si>
  <si>
    <t>HR Solutions</t>
  </si>
  <si>
    <t>Irfan Afridi</t>
  </si>
  <si>
    <t>irfanafridi747@gmail.com</t>
  </si>
  <si>
    <t>KHI/HO/D/HLGRP HEALTH/P/1451/02/2022</t>
  </si>
  <si>
    <t>08804906</t>
  </si>
  <si>
    <t>KHI/HO/D/HLGRP HEALTH/P/1467/03/2022</t>
  </si>
  <si>
    <t>Conductivity Career &amp; HR Solutions</t>
  </si>
  <si>
    <t>Mirza Faiza Baig</t>
  </si>
  <si>
    <t>mfbaig@conductivity.com.pk</t>
  </si>
  <si>
    <t>08804664</t>
  </si>
  <si>
    <t>KHI/HO/D/HLGRP HEALTH/P/1452/02/2022</t>
  </si>
  <si>
    <t>Coatinks (Pvt) Limited</t>
  </si>
  <si>
    <t>Ahsan Mansoor</t>
  </si>
  <si>
    <t>ahsan@coatinks.com</t>
  </si>
  <si>
    <t>08804910</t>
  </si>
  <si>
    <t>KHI/HO/D/HLGRP HEALTH/P/1466/03/2022</t>
  </si>
  <si>
    <t>AUS Solutions (SMC-Private) Limited</t>
  </si>
  <si>
    <t>Jawad Gung</t>
  </si>
  <si>
    <t>jawad.gung786@gmail.com&gt;</t>
  </si>
  <si>
    <t>088046641</t>
  </si>
  <si>
    <t>KHI/HO/D/HLGRP HEALTH/P/1453/02/2022</t>
  </si>
  <si>
    <t>Daihan Ink Pakistan</t>
  </si>
  <si>
    <t>08804654</t>
  </si>
  <si>
    <t>LHR/LHR/D/HLGRP HEALTH/P/1454/03/2022</t>
  </si>
  <si>
    <t>Codeninja (Pvt) Limited</t>
  </si>
  <si>
    <t>hr@codeninjaconsulting.com</t>
  </si>
  <si>
    <t>Syeda Maha Mahmood</t>
  </si>
  <si>
    <t>08805028</t>
  </si>
  <si>
    <t>KHI/HO/D/HLGRP HEALTH/P/1488/03/2022</t>
  </si>
  <si>
    <t>Brainwave Technologies</t>
  </si>
  <si>
    <t>08803223</t>
  </si>
  <si>
    <t>KHI/HO/D/HLGRP HEALTH/P/1257/11/2021</t>
  </si>
  <si>
    <t>KHI/HO/D/HLGRP HEALTH/P/1260/11/2021</t>
  </si>
  <si>
    <t>08803225</t>
  </si>
  <si>
    <t>Brote Technologies</t>
  </si>
  <si>
    <t>IMPULZ  TECHNOLOGIES</t>
  </si>
  <si>
    <t>Sharmeen Mehmood</t>
  </si>
  <si>
    <t>sharmeen.mehmood@kaispe.com</t>
  </si>
  <si>
    <t>qasim@impulztech.com</t>
  </si>
  <si>
    <t>KHI/HO/D/HLGRP HEALTH/P/1256/11/2021</t>
  </si>
  <si>
    <t>08802459</t>
  </si>
  <si>
    <t>ISD/ISD/D/HLGRP HEALTH/P/1136/08/2021</t>
  </si>
  <si>
    <t>SKYELECTRIC (PRIVATE) LIMITED</t>
  </si>
  <si>
    <t>Ihsan Zulfiqar</t>
  </si>
  <si>
    <t>ihsan.zulfiqar@skyelectric.com</t>
  </si>
  <si>
    <t>08805298</t>
  </si>
  <si>
    <t>KHI/HO/D/HLGRP HEALTH/P/1516/04/2022</t>
  </si>
  <si>
    <t>Baqai Institute of Pharmaceutical Sciences</t>
  </si>
  <si>
    <t>Khalid Mehmood</t>
  </si>
  <si>
    <t>khalidmehmood@baqai.edu.pk</t>
  </si>
  <si>
    <t>08805308</t>
  </si>
  <si>
    <t>KHI/HO/D/HLGRP HEALTH/P/1522/04/2022</t>
  </si>
  <si>
    <t>Universal Freight Systems (Private) Limited</t>
  </si>
  <si>
    <t>Muhammad Alkindi</t>
  </si>
  <si>
    <t>alkindi@ufs.com.pk</t>
  </si>
  <si>
    <t>08805519</t>
  </si>
  <si>
    <t>KHI/HO/D/HLGRP HEALTH/P/1540/04/2022</t>
  </si>
  <si>
    <t>BILLS INC.</t>
  </si>
  <si>
    <t>Hamza Khan</t>
  </si>
  <si>
    <t>hamza@bills-inc.com</t>
  </si>
  <si>
    <t>08005004</t>
  </si>
  <si>
    <t>KHI/HO/D/HLGRP HEALTH/P/1352/12/2021</t>
  </si>
  <si>
    <t>The Professional Travels &amp; Tours (Pvt) Ltd</t>
  </si>
  <si>
    <t>Syed Inayat Gohar</t>
  </si>
  <si>
    <t>inayat2005@hotmail.com</t>
  </si>
  <si>
    <t>KHI/HO/D/HLGRP HEALTH/P/1570/05/2022</t>
  </si>
  <si>
    <t>Talent Edge Consulting (Pvt) Ltd - DHL Group</t>
  </si>
  <si>
    <t>Waleed Hussain</t>
  </si>
  <si>
    <t>waleed.hussain@talent-edge.net</t>
  </si>
  <si>
    <t>088009141</t>
  </si>
  <si>
    <t>08805701</t>
  </si>
  <si>
    <t>KHI/HO/D/HLGRP HEALTH/P/1559/05/2022</t>
  </si>
  <si>
    <t>Markhor Shipping (Private) Limited</t>
  </si>
  <si>
    <t>Syed Salah Uddin</t>
  </si>
  <si>
    <t>syed@markhorship.com</t>
  </si>
  <si>
    <t>08805861</t>
  </si>
  <si>
    <t>KHI/HO/D/HLGRP HEALTH/P/1579/05/2022</t>
  </si>
  <si>
    <t>Bays International (Private) Limited</t>
  </si>
  <si>
    <t>Ali Yasar Zaidi</t>
  </si>
  <si>
    <t>yasar.z@baysinternational.com</t>
  </si>
  <si>
    <t>08805828</t>
  </si>
  <si>
    <t>KHI/HO/D/HLGRP HEALTH/P/1575/05/2022</t>
  </si>
  <si>
    <t>KARDIYA</t>
  </si>
  <si>
    <t>Beenish Naz</t>
  </si>
  <si>
    <t>hr@kardiya.com</t>
  </si>
  <si>
    <t>08805709</t>
  </si>
  <si>
    <t>KHI/HO/D/HLGRP HEALTH/P/1557/05/2022</t>
  </si>
  <si>
    <t>HYDROCHINA DAWOOD POWER (PRIVATE) LIMITED</t>
  </si>
  <si>
    <t>Muhammad Reyaar</t>
  </si>
  <si>
    <t>attn.muhammad@gmail.com</t>
  </si>
  <si>
    <t>08801989</t>
  </si>
  <si>
    <t>KHI/HO/D/HLGRP HEALTH/P/1167/09/2021</t>
  </si>
  <si>
    <t>TOYOTA PORT QASIM MOTORS</t>
  </si>
  <si>
    <t>Nabeel Haroon</t>
  </si>
  <si>
    <t>nabeel@toyota-pq.com</t>
  </si>
  <si>
    <t>08806417</t>
  </si>
  <si>
    <t>KHI/HO/D/HLGRP HEALTH/P/1626/06/2022</t>
  </si>
  <si>
    <t>Aisha Steel Mills</t>
  </si>
  <si>
    <t>kamran.hafeez@aishasteel.com</t>
  </si>
  <si>
    <t>Kamran Hafeez</t>
  </si>
  <si>
    <t>08802675</t>
  </si>
  <si>
    <t>KHI/HO/D/HLGRP HEALTH/P/1196/10/2021</t>
  </si>
  <si>
    <t>ALFRED H KNIGHT PAKISTAN (PVT) LTD</t>
  </si>
  <si>
    <t>Uzma Saleem</t>
  </si>
  <si>
    <t>uzma.saleem@ahkgroup.com</t>
  </si>
  <si>
    <t>08806637</t>
  </si>
  <si>
    <t>KHI/HO/D/HLGRP HEALTH/P/1667/07/2022</t>
  </si>
  <si>
    <t>Ranipur Sugar Mills (Private) Limited</t>
  </si>
  <si>
    <t>Rameez Ahmed Malik</t>
  </si>
  <si>
    <t>rameez@ranipursugarmills.com</t>
  </si>
  <si>
    <t>08805115</t>
  </si>
  <si>
    <t>KHI/HO/D/HLGRP HEALTH/P/1520/04/2022</t>
  </si>
  <si>
    <t>Trellis Housing Finance Ltd</t>
  </si>
  <si>
    <t>Hira Munir</t>
  </si>
  <si>
    <t>h.munir@trellisfi.com</t>
  </si>
  <si>
    <t>08801100</t>
  </si>
  <si>
    <t>KHI/HO/D/HLGRP HEALTH/P/1603/06/2022</t>
  </si>
  <si>
    <t>Polymer Access Private Limited</t>
  </si>
  <si>
    <t>imran.ahmed@polymerxs.com</t>
  </si>
  <si>
    <t>Imran Ahmed</t>
  </si>
  <si>
    <t>08804706</t>
  </si>
  <si>
    <t>KHI/HO/D/HLGRP HEALTH/P/1604/06/2022</t>
  </si>
  <si>
    <t>Hutaib Industial Solution</t>
  </si>
  <si>
    <t>08806796</t>
  </si>
  <si>
    <t>KHI/HO/D/HLGRP HEALTH/P/1679/07/2022</t>
  </si>
  <si>
    <t>Team Collective DMCC</t>
  </si>
  <si>
    <t>Mahrukh Anwar</t>
  </si>
  <si>
    <t>mahrukh.anwar@teamcollective.com</t>
  </si>
  <si>
    <t>08806970</t>
  </si>
  <si>
    <t>KHI/HO/D/HLGRP HEALTH/P/1697/08/2022</t>
  </si>
  <si>
    <t>SUNFLOWER INDUSTRIES</t>
  </si>
  <si>
    <t>Muhammad Khalid</t>
  </si>
  <si>
    <t>khalid@sunflower.com.pk</t>
  </si>
  <si>
    <t>088022481</t>
  </si>
  <si>
    <t>KHI/HO/D/HLGRP HEALTH/P/1689/07/2022</t>
  </si>
  <si>
    <t>08806124</t>
  </si>
  <si>
    <t>LHR/LHR/D/HLGRP HEALTH/P/1547/04/2022</t>
  </si>
  <si>
    <t>LHR/LHR/D/HLGRP HEALTH/P/1443/02/2022</t>
  </si>
  <si>
    <t>LHR/LHR/D/HLGRP HEALTH/P/1506/03/2022</t>
  </si>
  <si>
    <t>LHR/LHR/D/HLGRP HEALTH/P/1385/01/2022</t>
  </si>
  <si>
    <t>LHR/LHR/D/HLGRP HEALTH/P/1468/03/2022</t>
  </si>
  <si>
    <t>LHR/LHR/D/HLGRP HEALTH/P/1599/06/2022</t>
  </si>
  <si>
    <t>Kaulitatem PVT LTD</t>
  </si>
  <si>
    <t>Merit Incentives Technologies</t>
  </si>
  <si>
    <t>Professional Employees (Pvt) Ltd-ZTE</t>
  </si>
  <si>
    <t>Junaid Sheikh</t>
  </si>
  <si>
    <t>junaid.sheikh@kualitatem.com</t>
  </si>
  <si>
    <t>Arslan Mustafa</t>
  </si>
  <si>
    <t>&lt;arslan.mustafa@elitetechlogix.com&gt;</t>
  </si>
  <si>
    <t>Zua Ur Rehman</t>
  </si>
  <si>
    <t>zrehman@grasso-adearest.com</t>
  </si>
  <si>
    <t>Umar Farooq</t>
  </si>
  <si>
    <t>qaziumar.farooq@abacus-global.com&gt;</t>
  </si>
  <si>
    <t xml:space="preserve">Fahad Shaheryar </t>
  </si>
  <si>
    <t>fahad.shaheryar@meritincentives.com</t>
  </si>
  <si>
    <t xml:space="preserve">Kashif Majeed </t>
  </si>
  <si>
    <t>kashif.majeed@people.com.pk</t>
  </si>
  <si>
    <t>08807242</t>
  </si>
  <si>
    <t>Ms. Rabia</t>
  </si>
  <si>
    <t>Stratesfy Pvt. Ltd.</t>
  </si>
  <si>
    <t>KHI/HO/D/HLGRP HEALTH/P/1731/08/2022</t>
  </si>
  <si>
    <t>rabia.nadeem@finaltier.com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</si>
</sst>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dd\-mm\-yyyy"/>
  </numFmts>
  <fonts count="24" x14ac:knownFonts="1">
    <font>
      <sz val="9"/>
      <color theme="1"/>
      <name val="Segoe U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9"/>
      <color theme="10"/>
      <name val="Segoe UI"/>
      <family val="2"/>
      <charset val="1"/>
    </font>
    <font>
      <sz val="10"/>
      <color theme="1"/>
      <name val="Cambria"/>
      <family val="2"/>
      <scheme val="major"/>
    </font>
    <font>
      <b/>
      <sz val="10"/>
      <color rgb="FF002060"/>
      <name val="Cambria"/>
      <family val="2"/>
      <scheme val="major"/>
    </font>
    <font>
      <b/>
      <sz val="10"/>
      <color theme="1"/>
      <name val="Cambria"/>
      <family val="2"/>
      <scheme val="major"/>
    </font>
    <font>
      <sz val="11"/>
      <color theme="1"/>
      <name val="Calibri"/>
      <family val="2"/>
    </font>
    <font>
      <b/>
      <sz val="14"/>
      <color theme="1"/>
      <name val="Cambria"/>
      <family val="2"/>
      <scheme val="major"/>
    </font>
    <font>
      <sz val="1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 Light"/>
      <family val="2"/>
    </font>
    <font>
      <b/>
      <sz val="10"/>
      <color rgb="FF000000"/>
      <name val="Calibri Light"/>
      <family val="2"/>
    </font>
    <font>
      <sz val="12"/>
      <color rgb="FF000000"/>
      <name val="Calibri Light"/>
      <family val="2"/>
    </font>
    <font>
      <b/>
      <sz val="10"/>
      <color rgb="FF1F497D"/>
      <name val="Cambria"/>
      <family val="1"/>
    </font>
    <font>
      <sz val="14"/>
      <color theme="1"/>
      <name val="Calibri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7">
    <xf numFmtId="0" fontId="0" fillId="0" borderId="0" xfId="0"/>
    <xf numFmtId="0" fontId="5" fillId="3" borderId="0" xfId="2" applyFont="1" applyFill="1" applyAlignment="1">
      <alignment vertical="top"/>
    </xf>
    <xf numFmtId="0" fontId="5" fillId="3" borderId="0" xfId="2" applyFont="1" applyFill="1" applyAlignment="1">
      <alignment vertical="top" wrapText="1"/>
    </xf>
    <xf numFmtId="0" fontId="6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4" fillId="2" borderId="0" xfId="2" applyFont="1" applyFill="1"/>
    <xf numFmtId="165" fontId="4" fillId="2" borderId="0" xfId="2" applyNumberFormat="1" applyFont="1" applyFill="1" applyAlignment="1">
      <alignment horizontal="center"/>
    </xf>
    <xf numFmtId="164" fontId="4" fillId="2" borderId="0" xfId="3" applyFont="1" applyFill="1"/>
    <xf numFmtId="0" fontId="3" fillId="2" borderId="0" xfId="1" applyFill="1"/>
    <xf numFmtId="0" fontId="7" fillId="0" borderId="0" xfId="0" applyFont="1"/>
    <xf numFmtId="0" fontId="3" fillId="0" borderId="0" xfId="1"/>
    <xf numFmtId="0" fontId="4" fillId="2" borderId="0" xfId="2" applyFont="1" applyFill="1" applyAlignment="1">
      <alignment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left" vertical="top" readingOrder="1"/>
    </xf>
    <xf numFmtId="0" fontId="9" fillId="0" borderId="1" xfId="0" applyFont="1" applyBorder="1" applyAlignment="1">
      <alignment horizontal="left"/>
    </xf>
    <xf numFmtId="0" fontId="3" fillId="0" borderId="1" xfId="1" applyBorder="1" applyAlignment="1">
      <alignment horizontal="left"/>
    </xf>
    <xf numFmtId="0" fontId="4" fillId="4" borderId="0" xfId="2" applyFont="1" applyFill="1" applyAlignment="1">
      <alignment horizontal="center"/>
    </xf>
    <xf numFmtId="0" fontId="4" fillId="4" borderId="0" xfId="2" quotePrefix="1" applyFont="1" applyFill="1" applyAlignment="1">
      <alignment horizontal="center"/>
    </xf>
    <xf numFmtId="0" fontId="4" fillId="5" borderId="0" xfId="2" applyFont="1" applyFill="1" applyAlignment="1">
      <alignment horizontal="center"/>
    </xf>
    <xf numFmtId="0" fontId="4" fillId="5" borderId="0" xfId="2" applyFont="1" applyFill="1"/>
    <xf numFmtId="165" fontId="4" fillId="5" borderId="0" xfId="2" applyNumberFormat="1" applyFont="1" applyFill="1" applyAlignment="1">
      <alignment horizontal="center"/>
    </xf>
    <xf numFmtId="164" fontId="4" fillId="5" borderId="0" xfId="3" applyFont="1" applyFill="1"/>
    <xf numFmtId="0" fontId="4" fillId="5" borderId="0" xfId="2" applyFont="1" applyFill="1" applyAlignment="1">
      <alignment wrapText="1"/>
    </xf>
    <xf numFmtId="0" fontId="4" fillId="5" borderId="0" xfId="2" quotePrefix="1" applyFont="1" applyFill="1" applyAlignment="1">
      <alignment horizontal="center"/>
    </xf>
    <xf numFmtId="0" fontId="3" fillId="5" borderId="2" xfId="1" applyFill="1" applyBorder="1" applyAlignment="1">
      <alignment vertical="center"/>
    </xf>
    <xf numFmtId="0" fontId="3" fillId="5" borderId="0" xfId="1" applyFill="1"/>
    <xf numFmtId="0" fontId="10" fillId="6" borderId="3" xfId="0" applyFont="1" applyFill="1" applyBorder="1" applyAlignment="1">
      <alignment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/>
    <xf numFmtId="0" fontId="12" fillId="0" borderId="0" xfId="0" quotePrefix="1" applyFont="1"/>
    <xf numFmtId="15" fontId="12" fillId="0" borderId="0" xfId="0" applyNumberFormat="1" applyFont="1"/>
    <xf numFmtId="0" fontId="13" fillId="0" borderId="0" xfId="0" applyFont="1"/>
    <xf numFmtId="0" fontId="13" fillId="0" borderId="5" xfId="0" applyFont="1" applyBorder="1" applyAlignment="1">
      <alignment vertical="center"/>
    </xf>
    <xf numFmtId="0" fontId="13" fillId="0" borderId="0" xfId="0" quotePrefix="1" applyFont="1"/>
    <xf numFmtId="0" fontId="3" fillId="0" borderId="5" xfId="1" applyBorder="1" applyAlignment="1">
      <alignment vertical="center"/>
    </xf>
    <xf numFmtId="0" fontId="4" fillId="2" borderId="0" xfId="2" quotePrefix="1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5" xfId="0" applyFont="1" applyBorder="1" applyAlignment="1">
      <alignment vertical="center"/>
    </xf>
    <xf numFmtId="0" fontId="0" fillId="0" borderId="0" xfId="0" quotePrefix="1"/>
    <xf numFmtId="49" fontId="3" fillId="0" borderId="1" xfId="1" applyNumberFormat="1" applyFill="1" applyBorder="1" applyAlignment="1" applyProtection="1">
      <alignment horizontal="center"/>
    </xf>
    <xf numFmtId="0" fontId="7" fillId="0" borderId="0" xfId="0" applyFont="1" applyAlignment="1">
      <alignment vertical="center"/>
    </xf>
    <xf numFmtId="0" fontId="3" fillId="0" borderId="0" xfId="1" applyAlignment="1">
      <alignment vertical="center"/>
    </xf>
    <xf numFmtId="0" fontId="12" fillId="7" borderId="5" xfId="0" applyFont="1" applyFill="1" applyBorder="1" applyAlignment="1">
      <alignment vertical="center"/>
    </xf>
    <xf numFmtId="14" fontId="12" fillId="0" borderId="0" xfId="0" applyNumberFormat="1" applyFont="1"/>
    <xf numFmtId="14" fontId="12" fillId="0" borderId="5" xfId="0" applyNumberFormat="1" applyFont="1" applyBorder="1" applyAlignment="1">
      <alignment vertical="center"/>
    </xf>
    <xf numFmtId="0" fontId="12" fillId="8" borderId="5" xfId="0" applyFont="1" applyFill="1" applyBorder="1" applyAlignment="1">
      <alignment vertical="center"/>
    </xf>
    <xf numFmtId="0" fontId="3" fillId="8" borderId="5" xfId="1" applyFill="1" applyBorder="1" applyAlignment="1">
      <alignment vertical="center"/>
    </xf>
    <xf numFmtId="0" fontId="12" fillId="0" borderId="4" xfId="0" quotePrefix="1" applyFont="1" applyBorder="1" applyAlignment="1">
      <alignment vertical="center"/>
    </xf>
    <xf numFmtId="15" fontId="12" fillId="0" borderId="5" xfId="0" applyNumberFormat="1" applyFont="1" applyBorder="1" applyAlignment="1">
      <alignment horizontal="right" vertical="center"/>
    </xf>
    <xf numFmtId="0" fontId="16" fillId="0" borderId="0" xfId="0" applyFont="1"/>
    <xf numFmtId="0" fontId="12" fillId="0" borderId="0" xfId="0" applyFont="1" applyAlignment="1">
      <alignment vertical="center"/>
    </xf>
    <xf numFmtId="0" fontId="12" fillId="0" borderId="6" xfId="0" quotePrefix="1" applyFont="1" applyBorder="1" applyAlignment="1">
      <alignment horizontal="left" vertical="center"/>
    </xf>
    <xf numFmtId="15" fontId="13" fillId="0" borderId="5" xfId="0" applyNumberFormat="1" applyFont="1" applyBorder="1" applyAlignment="1">
      <alignment horizontal="right" vertical="center"/>
    </xf>
    <xf numFmtId="15" fontId="12" fillId="0" borderId="5" xfId="0" applyNumberFormat="1" applyFont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15" fontId="13" fillId="8" borderId="5" xfId="0" applyNumberFormat="1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15" fontId="17" fillId="8" borderId="5" xfId="0" applyNumberFormat="1" applyFont="1" applyFill="1" applyBorder="1" applyAlignment="1">
      <alignment horizontal="right" vertical="center"/>
    </xf>
    <xf numFmtId="0" fontId="3" fillId="0" borderId="0" xfId="1" quotePrefix="1"/>
    <xf numFmtId="0" fontId="18" fillId="0" borderId="0" xfId="0" applyFont="1"/>
    <xf numFmtId="0" fontId="19" fillId="0" borderId="0" xfId="0" applyFont="1"/>
    <xf numFmtId="0" fontId="15" fillId="8" borderId="5" xfId="0" applyFont="1" applyFill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3" fillId="0" borderId="5" xfId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3" fillId="8" borderId="5" xfId="1" applyFill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3" fillId="7" borderId="5" xfId="0" applyFont="1" applyFill="1" applyBorder="1" applyAlignment="1">
      <alignment vertical="center"/>
    </xf>
    <xf numFmtId="14" fontId="0" fillId="0" borderId="0" xfId="0" applyNumberFormat="1"/>
    <xf numFmtId="0" fontId="20" fillId="0" borderId="0" xfId="0" applyFont="1"/>
    <xf numFmtId="0" fontId="12" fillId="5" borderId="7" xfId="0" applyFont="1" applyFill="1" applyBorder="1" applyAlignment="1">
      <alignment vertical="center"/>
    </xf>
    <xf numFmtId="0" fontId="3" fillId="0" borderId="7" xfId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8" fillId="2" borderId="0" xfId="2" applyFont="1" applyFill="1" applyAlignment="1">
      <alignment horizontal="center" vertical="center" wrapText="1"/>
    </xf>
    <xf numFmtId="0" fontId="7" fillId="0" borderId="0" xfId="0" quotePrefix="1" applyFont="1"/>
    <xf numFmtId="0" fontId="1" fillId="0" borderId="0" xfId="0" applyFont="1" applyAlignment="1">
      <alignment horizontal="justify"/>
    </xf>
  </cellXfs>
  <cellStyles count="5">
    <cellStyle name="Comma [0] 2" xfId="3" xr:uid="{AE8C8470-B413-40B7-B7C1-855BD6866DFA}"/>
    <cellStyle name="Hyperlink" xfId="1" builtinId="8"/>
    <cellStyle name="Normal" xfId="0" builtinId="0"/>
    <cellStyle name="Normal 2" xfId="2" xr:uid="{337435E0-A315-48D0-9D04-114EC2D935FE}"/>
    <cellStyle name="Percent 2" xfId="4" xr:uid="{A27FCC82-BE47-4DC4-8FA0-5BBC53AFFA8C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yasir.shafique@treehouseconsultancy.com" TargetMode="External"/><Relationship Id="rId21" Type="http://schemas.openxmlformats.org/officeDocument/2006/relationships/hyperlink" Target="mailto:farrukh@ips.net.pk" TargetMode="External"/><Relationship Id="rId42" Type="http://schemas.openxmlformats.org/officeDocument/2006/relationships/hyperlink" Target="mailto:kamran.ahmed@thalesgroup.com" TargetMode="External"/><Relationship Id="rId63" Type="http://schemas.openxmlformats.org/officeDocument/2006/relationships/hyperlink" Target="mailto:mohi@decojent.com" TargetMode="External"/><Relationship Id="rId84" Type="http://schemas.openxmlformats.org/officeDocument/2006/relationships/hyperlink" Target="mailto:dania.razi@ecil.com" TargetMode="External"/><Relationship Id="rId138" Type="http://schemas.openxmlformats.org/officeDocument/2006/relationships/hyperlink" Target="mailto:danish.khan@techaccess.com" TargetMode="External"/><Relationship Id="rId159" Type="http://schemas.openxmlformats.org/officeDocument/2006/relationships/hyperlink" Target="mailto:irfanafridi747@gmail.com" TargetMode="External"/><Relationship Id="rId170" Type="http://schemas.openxmlformats.org/officeDocument/2006/relationships/hyperlink" Target="mailto:hamza@bills-inc.com" TargetMode="External"/><Relationship Id="rId191" Type="http://schemas.openxmlformats.org/officeDocument/2006/relationships/hyperlink" Target="mailto:fahad.shaheryar@meritincentives.com" TargetMode="External"/><Relationship Id="rId107" Type="http://schemas.openxmlformats.org/officeDocument/2006/relationships/hyperlink" Target="mailto:tarteel.ansari@inboxbiz.com" TargetMode="External"/><Relationship Id="rId11" Type="http://schemas.openxmlformats.org/officeDocument/2006/relationships/hyperlink" Target="mailto:faisa.abbasi@dimensionsoffice.com" TargetMode="External"/><Relationship Id="rId32" Type="http://schemas.openxmlformats.org/officeDocument/2006/relationships/hyperlink" Target="mailto:uzma@pennyappeal.org.pk" TargetMode="External"/><Relationship Id="rId53" Type="http://schemas.openxmlformats.org/officeDocument/2006/relationships/hyperlink" Target="mailto:zahid@oncopharma.org" TargetMode="External"/><Relationship Id="rId74" Type="http://schemas.openxmlformats.org/officeDocument/2006/relationships/hyperlink" Target="mailto:piffa-it@piffapk.com" TargetMode="External"/><Relationship Id="rId128" Type="http://schemas.openxmlformats.org/officeDocument/2006/relationships/hyperlink" Target="mailto:danish.farooqui@indusvalleylabs.com" TargetMode="External"/><Relationship Id="rId149" Type="http://schemas.openxmlformats.org/officeDocument/2006/relationships/hyperlink" Target="mailto:jehangir@alfaadhi.pk" TargetMode="External"/><Relationship Id="rId5" Type="http://schemas.openxmlformats.org/officeDocument/2006/relationships/hyperlink" Target="mailto:umer.muhammad@briogene.com" TargetMode="External"/><Relationship Id="rId95" Type="http://schemas.openxmlformats.org/officeDocument/2006/relationships/hyperlink" Target="mailto:bfund@icap.org.pk" TargetMode="External"/><Relationship Id="rId160" Type="http://schemas.openxmlformats.org/officeDocument/2006/relationships/hyperlink" Target="mailto:mfbaig@conductivity.com.pk" TargetMode="External"/><Relationship Id="rId181" Type="http://schemas.openxmlformats.org/officeDocument/2006/relationships/hyperlink" Target="mailto:h.munir@trellisfi.com" TargetMode="External"/><Relationship Id="rId22" Type="http://schemas.openxmlformats.org/officeDocument/2006/relationships/hyperlink" Target="mailto:hwaqar@InternationalMedicalCorps.org" TargetMode="External"/><Relationship Id="rId43" Type="http://schemas.openxmlformats.org/officeDocument/2006/relationships/hyperlink" Target="mailto:atiq@thingtrax.com" TargetMode="External"/><Relationship Id="rId64" Type="http://schemas.openxmlformats.org/officeDocument/2006/relationships/hyperlink" Target="mailto:hasan.korejo@sapphire.co" TargetMode="External"/><Relationship Id="rId118" Type="http://schemas.openxmlformats.org/officeDocument/2006/relationships/hyperlink" Target="mailto:hamza@taskeen.org" TargetMode="External"/><Relationship Id="rId139" Type="http://schemas.openxmlformats.org/officeDocument/2006/relationships/hyperlink" Target="mailto:hassan.a@pennsteel.com" TargetMode="External"/><Relationship Id="rId85" Type="http://schemas.openxmlformats.org/officeDocument/2006/relationships/hyperlink" Target="mailto:ghulam.qadir@hfs.com.pk" TargetMode="External"/><Relationship Id="rId150" Type="http://schemas.openxmlformats.org/officeDocument/2006/relationships/hyperlink" Target="mailto:alikausar157@gmail.com" TargetMode="External"/><Relationship Id="rId171" Type="http://schemas.openxmlformats.org/officeDocument/2006/relationships/hyperlink" Target="mailto:inayat2005@hotmail.com" TargetMode="External"/><Relationship Id="rId192" Type="http://schemas.openxmlformats.org/officeDocument/2006/relationships/hyperlink" Target="mailto:kashif.majeed@people.com.pk" TargetMode="External"/><Relationship Id="rId12" Type="http://schemas.openxmlformats.org/officeDocument/2006/relationships/hyperlink" Target="mailto:INFO@ELITETECHNOLOGIX.COM" TargetMode="External"/><Relationship Id="rId33" Type="http://schemas.openxmlformats.org/officeDocument/2006/relationships/hyperlink" Target="mailto:zeeshan@rrs.com.pk" TargetMode="External"/><Relationship Id="rId108" Type="http://schemas.openxmlformats.org/officeDocument/2006/relationships/hyperlink" Target="mailto:hr@unicongroup.com.pk" TargetMode="External"/><Relationship Id="rId129" Type="http://schemas.openxmlformats.org/officeDocument/2006/relationships/hyperlink" Target="mailto:muhammad.sumair@nkc.org.pk" TargetMode="External"/><Relationship Id="rId54" Type="http://schemas.openxmlformats.org/officeDocument/2006/relationships/hyperlink" Target="mailto:jawaid.mughal@hsc.com.pk" TargetMode="External"/><Relationship Id="rId75" Type="http://schemas.openxmlformats.org/officeDocument/2006/relationships/hyperlink" Target="mailto:danish.mohiuddin@bankislami.com.pk" TargetMode="External"/><Relationship Id="rId96" Type="http://schemas.openxmlformats.org/officeDocument/2006/relationships/hyperlink" Target="mailto:muhammad.farhan@uniqueinsurancebrokers.com" TargetMode="External"/><Relationship Id="rId140" Type="http://schemas.openxmlformats.org/officeDocument/2006/relationships/hyperlink" Target="mailto:asifa.noman@haball.pk" TargetMode="External"/><Relationship Id="rId161" Type="http://schemas.openxmlformats.org/officeDocument/2006/relationships/hyperlink" Target="mailto:ahsan@coatinks.com" TargetMode="External"/><Relationship Id="rId182" Type="http://schemas.openxmlformats.org/officeDocument/2006/relationships/hyperlink" Target="mailto:imran.ahmed@polymerxs.com" TargetMode="External"/><Relationship Id="rId6" Type="http://schemas.openxmlformats.org/officeDocument/2006/relationships/hyperlink" Target="mailto:bhatti_int_@yahoo.com" TargetMode="External"/><Relationship Id="rId23" Type="http://schemas.openxmlformats.org/officeDocument/2006/relationships/hyperlink" Target="mailto:ceo@kpogcl.com.pk" TargetMode="External"/><Relationship Id="rId119" Type="http://schemas.openxmlformats.org/officeDocument/2006/relationships/hyperlink" Target="mailto:saud.ahmed@pakgrease.com.pk" TargetMode="External"/><Relationship Id="rId44" Type="http://schemas.openxmlformats.org/officeDocument/2006/relationships/hyperlink" Target="mailto:hidayat.khan@trovicor.com" TargetMode="External"/><Relationship Id="rId65" Type="http://schemas.openxmlformats.org/officeDocument/2006/relationships/hyperlink" Target="mailto:salman.qamar@sapphire.co" TargetMode="External"/><Relationship Id="rId86" Type="http://schemas.openxmlformats.org/officeDocument/2006/relationships/hyperlink" Target="mailto:accounts@alphaaviationsltd.com" TargetMode="External"/><Relationship Id="rId130" Type="http://schemas.openxmlformats.org/officeDocument/2006/relationships/hyperlink" Target="mailto:adil.sales@hondaquideen.com" TargetMode="External"/><Relationship Id="rId151" Type="http://schemas.openxmlformats.org/officeDocument/2006/relationships/hyperlink" Target="mailto:s.misbah@miracleminerals.com.pk" TargetMode="External"/><Relationship Id="rId172" Type="http://schemas.openxmlformats.org/officeDocument/2006/relationships/hyperlink" Target="mailto:waleed.hussain@talent-edge.net" TargetMode="External"/><Relationship Id="rId193" Type="http://schemas.openxmlformats.org/officeDocument/2006/relationships/hyperlink" Target="mailto:rabia.nadeem@finaltier.com" TargetMode="External"/><Relationship Id="rId13" Type="http://schemas.openxmlformats.org/officeDocument/2006/relationships/hyperlink" Target="mailto:sarosh@takaful.com.pk" TargetMode="External"/><Relationship Id="rId109" Type="http://schemas.openxmlformats.org/officeDocument/2006/relationships/hyperlink" Target="mailto:sana.amir@ossols.com" TargetMode="External"/><Relationship Id="rId34" Type="http://schemas.openxmlformats.org/officeDocument/2006/relationships/hyperlink" Target="mailto:iftikhar.ahmad@rmi.edu.pk" TargetMode="External"/><Relationship Id="rId50" Type="http://schemas.openxmlformats.org/officeDocument/2006/relationships/hyperlink" Target="mailto:areej.ahmed@zellbury.com" TargetMode="External"/><Relationship Id="rId55" Type="http://schemas.openxmlformats.org/officeDocument/2006/relationships/hyperlink" Target="mailto:sohail.zakaria@kcci.com.pk" TargetMode="External"/><Relationship Id="rId76" Type="http://schemas.openxmlformats.org/officeDocument/2006/relationships/hyperlink" Target="mailto:danish.mohiuddin@bankislami.com.pk" TargetMode="External"/><Relationship Id="rId97" Type="http://schemas.openxmlformats.org/officeDocument/2006/relationships/hyperlink" Target="mailto:medical.mgc@mgcpakistan.com" TargetMode="External"/><Relationship Id="rId104" Type="http://schemas.openxmlformats.org/officeDocument/2006/relationships/hyperlink" Target="mailto:arsalan@itrepublican.com" TargetMode="External"/><Relationship Id="rId120" Type="http://schemas.openxmlformats.org/officeDocument/2006/relationships/hyperlink" Target="mailto:suman.kumari@vinicosmetics.pk" TargetMode="External"/><Relationship Id="rId125" Type="http://schemas.openxmlformats.org/officeDocument/2006/relationships/hyperlink" Target="mailto:jawad.shaukat@rehmateshereen.com" TargetMode="External"/><Relationship Id="rId141" Type="http://schemas.openxmlformats.org/officeDocument/2006/relationships/hyperlink" Target="mailto:accounts@ayoobtextile.com" TargetMode="External"/><Relationship Id="rId146" Type="http://schemas.openxmlformats.org/officeDocument/2006/relationships/hyperlink" Target="mailto:umair.ahmed@shahidafridifoundation.org" TargetMode="External"/><Relationship Id="rId167" Type="http://schemas.openxmlformats.org/officeDocument/2006/relationships/hyperlink" Target="mailto:ihsan.zulfiqar@skyelectric.com" TargetMode="External"/><Relationship Id="rId188" Type="http://schemas.openxmlformats.org/officeDocument/2006/relationships/hyperlink" Target="mailto:arslan.mustafa@elitetechlogix.com" TargetMode="External"/><Relationship Id="rId7" Type="http://schemas.openxmlformats.org/officeDocument/2006/relationships/hyperlink" Target="mailto:zohaib.mohammad@cardno.com" TargetMode="External"/><Relationship Id="rId71" Type="http://schemas.openxmlformats.org/officeDocument/2006/relationships/hyperlink" Target="mailto:maslam@grasso-adearest.com" TargetMode="External"/><Relationship Id="rId92" Type="http://schemas.openxmlformats.org/officeDocument/2006/relationships/hyperlink" Target="mailto:srt.vds@gmail.com" TargetMode="External"/><Relationship Id="rId162" Type="http://schemas.openxmlformats.org/officeDocument/2006/relationships/hyperlink" Target="mailto:jawad.gung786@gmail.com%3E" TargetMode="External"/><Relationship Id="rId183" Type="http://schemas.openxmlformats.org/officeDocument/2006/relationships/hyperlink" Target="mailto:imran.ahmed@polymerxs.com" TargetMode="External"/><Relationship Id="rId2" Type="http://schemas.openxmlformats.org/officeDocument/2006/relationships/hyperlink" Target="mailto:chancellor@abasyn.edu.pk" TargetMode="External"/><Relationship Id="rId29" Type="http://schemas.openxmlformats.org/officeDocument/2006/relationships/hyperlink" Target="mailto:fozia.qadir@ne.com.pk" TargetMode="External"/><Relationship Id="rId24" Type="http://schemas.openxmlformats.org/officeDocument/2006/relationships/hyperlink" Target="mailto:mohsin.ali@kpezdmc.org.pk" TargetMode="External"/><Relationship Id="rId40" Type="http://schemas.openxmlformats.org/officeDocument/2006/relationships/hyperlink" Target="mailto:ngosparc@gmail.com" TargetMode="External"/><Relationship Id="rId45" Type="http://schemas.openxmlformats.org/officeDocument/2006/relationships/hyperlink" Target="mailto:amkhan@pakturkmaarif.edu.pk" TargetMode="External"/><Relationship Id="rId66" Type="http://schemas.openxmlformats.org/officeDocument/2006/relationships/hyperlink" Target="mailto:qasim.muhammad@brotetechnologies.com" TargetMode="External"/><Relationship Id="rId87" Type="http://schemas.openxmlformats.org/officeDocument/2006/relationships/hyperlink" Target="mailto:babar@orient-power.com" TargetMode="External"/><Relationship Id="rId110" Type="http://schemas.openxmlformats.org/officeDocument/2006/relationships/hyperlink" Target="mailto:kahmed@mwcanada.org" TargetMode="External"/><Relationship Id="rId115" Type="http://schemas.openxmlformats.org/officeDocument/2006/relationships/hyperlink" Target="mailto:adm.exe.ho@star-liners.com" TargetMode="External"/><Relationship Id="rId131" Type="http://schemas.openxmlformats.org/officeDocument/2006/relationships/hyperlink" Target="mailto:raheel_malla@hotmail.com" TargetMode="External"/><Relationship Id="rId136" Type="http://schemas.openxmlformats.org/officeDocument/2006/relationships/hyperlink" Target="mailto:sharjeel_parekh@hotmail.com" TargetMode="External"/><Relationship Id="rId157" Type="http://schemas.openxmlformats.org/officeDocument/2006/relationships/hyperlink" Target="mailto:faisalrazzaq@dhamidi.com" TargetMode="External"/><Relationship Id="rId178" Type="http://schemas.openxmlformats.org/officeDocument/2006/relationships/hyperlink" Target="mailto:kamran.hafeez@aishasteel.com" TargetMode="External"/><Relationship Id="rId61" Type="http://schemas.openxmlformats.org/officeDocument/2006/relationships/hyperlink" Target="mailto:saadpirzada@studio-q.co" TargetMode="External"/><Relationship Id="rId82" Type="http://schemas.openxmlformats.org/officeDocument/2006/relationships/hyperlink" Target="mailto:rameez.mehboob@salaamtakaful.com" TargetMode="External"/><Relationship Id="rId152" Type="http://schemas.openxmlformats.org/officeDocument/2006/relationships/hyperlink" Target="mailto:haseeb@hashmove.com" TargetMode="External"/><Relationship Id="rId173" Type="http://schemas.openxmlformats.org/officeDocument/2006/relationships/hyperlink" Target="mailto:syed@markhorship.com" TargetMode="External"/><Relationship Id="rId194" Type="http://schemas.openxmlformats.org/officeDocument/2006/relationships/printerSettings" Target="../printerSettings/printerSettings1.bin"/><Relationship Id="rId19" Type="http://schemas.openxmlformats.org/officeDocument/2006/relationships/hyperlink" Target="mailto:treasurer@hitecuniversity.pk" TargetMode="External"/><Relationship Id="rId14" Type="http://schemas.openxmlformats.org/officeDocument/2006/relationships/hyperlink" Target="mailto:waqaskhalil@fibermountain.com" TargetMode="External"/><Relationship Id="rId30" Type="http://schemas.openxmlformats.org/officeDocument/2006/relationships/hyperlink" Target="mailto:syed.rehan@netkom.com.pk" TargetMode="External"/><Relationship Id="rId35" Type="http://schemas.openxmlformats.org/officeDocument/2006/relationships/hyperlink" Target="mailto:asad.ejaz@route2health.net" TargetMode="External"/><Relationship Id="rId56" Type="http://schemas.openxmlformats.org/officeDocument/2006/relationships/hyperlink" Target="mailto:wajid.mirza@alrahimtextile.com" TargetMode="External"/><Relationship Id="rId77" Type="http://schemas.openxmlformats.org/officeDocument/2006/relationships/hyperlink" Target="mailto:sierratextiles@gmail.com" TargetMode="External"/><Relationship Id="rId100" Type="http://schemas.openxmlformats.org/officeDocument/2006/relationships/hyperlink" Target="mailto:subhan.uddin@udld.biz" TargetMode="External"/><Relationship Id="rId105" Type="http://schemas.openxmlformats.org/officeDocument/2006/relationships/hyperlink" Target="mailto:medical.mgc@mgcpakistan.com" TargetMode="External"/><Relationship Id="rId126" Type="http://schemas.openxmlformats.org/officeDocument/2006/relationships/hyperlink" Target="mailto:hamid.chohan@propakistani.pk" TargetMode="External"/><Relationship Id="rId147" Type="http://schemas.openxmlformats.org/officeDocument/2006/relationships/hyperlink" Target="mailto:hr@code-avenue.com" TargetMode="External"/><Relationship Id="rId168" Type="http://schemas.openxmlformats.org/officeDocument/2006/relationships/hyperlink" Target="mailto:khalidmehmood@baqai.edu.pk" TargetMode="External"/><Relationship Id="rId8" Type="http://schemas.openxmlformats.org/officeDocument/2006/relationships/hyperlink" Target="mailto:muhammadimran@cecos.edu.pk" TargetMode="External"/><Relationship Id="rId51" Type="http://schemas.openxmlformats.org/officeDocument/2006/relationships/hyperlink" Target="mailto:madnan@ndctech.net" TargetMode="External"/><Relationship Id="rId72" Type="http://schemas.openxmlformats.org/officeDocument/2006/relationships/hyperlink" Target="mailto:kaziz@trafix.com" TargetMode="External"/><Relationship Id="rId93" Type="http://schemas.openxmlformats.org/officeDocument/2006/relationships/hyperlink" Target="mailto:karim.lakhani@pslpet.com" TargetMode="External"/><Relationship Id="rId98" Type="http://schemas.openxmlformats.org/officeDocument/2006/relationships/hyperlink" Target="mailto:medical.mgc@mgcpakistan.com" TargetMode="External"/><Relationship Id="rId121" Type="http://schemas.openxmlformats.org/officeDocument/2006/relationships/hyperlink" Target="mailto:hrmanager@ifcondition.com" TargetMode="External"/><Relationship Id="rId142" Type="http://schemas.openxmlformats.org/officeDocument/2006/relationships/hyperlink" Target="mailto:accountpk1@jinshanchemical.com" TargetMode="External"/><Relationship Id="rId163" Type="http://schemas.openxmlformats.org/officeDocument/2006/relationships/hyperlink" Target="mailto:ahsan@coatinks.com" TargetMode="External"/><Relationship Id="rId184" Type="http://schemas.openxmlformats.org/officeDocument/2006/relationships/hyperlink" Target="mailto:mahrukh.anwar@teamcollective.com" TargetMode="External"/><Relationship Id="rId189" Type="http://schemas.openxmlformats.org/officeDocument/2006/relationships/hyperlink" Target="mailto:zrehman@grasso-adearest.com" TargetMode="External"/><Relationship Id="rId3" Type="http://schemas.openxmlformats.org/officeDocument/2006/relationships/hyperlink" Target="mailto:sheharyar.ahmed@adex360.com" TargetMode="External"/><Relationship Id="rId25" Type="http://schemas.openxmlformats.org/officeDocument/2006/relationships/hyperlink" Target="mailto:zeeshan.ali@maroof.com.pk" TargetMode="External"/><Relationship Id="rId46" Type="http://schemas.openxmlformats.org/officeDocument/2006/relationships/hyperlink" Target="mailto:khalid.jumani@uniqueinsurancebrokers.com" TargetMode="External"/><Relationship Id="rId67" Type="http://schemas.openxmlformats.org/officeDocument/2006/relationships/hyperlink" Target="mailto:rraza@aligarh.edu.pk" TargetMode="External"/><Relationship Id="rId116" Type="http://schemas.openxmlformats.org/officeDocument/2006/relationships/hyperlink" Target="mailto:irfanullahkhanafridi@yahoo.com" TargetMode="External"/><Relationship Id="rId137" Type="http://schemas.openxmlformats.org/officeDocument/2006/relationships/hyperlink" Target="mailto:bilal@hoorapharma.com" TargetMode="External"/><Relationship Id="rId158" Type="http://schemas.openxmlformats.org/officeDocument/2006/relationships/hyperlink" Target="mailto:majid_mateen@hotmail.com" TargetMode="External"/><Relationship Id="rId20" Type="http://schemas.openxmlformats.org/officeDocument/2006/relationships/hyperlink" Target="mailto:finance@hondatownship.com.pk" TargetMode="External"/><Relationship Id="rId41" Type="http://schemas.openxmlformats.org/officeDocument/2006/relationships/hyperlink" Target="mailto:umair@switchitc.com" TargetMode="External"/><Relationship Id="rId62" Type="http://schemas.openxmlformats.org/officeDocument/2006/relationships/hyperlink" Target="mailto:momal.fakhar@mrmtraders.com" TargetMode="External"/><Relationship Id="rId83" Type="http://schemas.openxmlformats.org/officeDocument/2006/relationships/hyperlink" Target="mailto:khurram.morris@arifhabibltd.com" TargetMode="External"/><Relationship Id="rId88" Type="http://schemas.openxmlformats.org/officeDocument/2006/relationships/hyperlink" Target="mailto:fareha.laiq@aaj.tv" TargetMode="External"/><Relationship Id="rId111" Type="http://schemas.openxmlformats.org/officeDocument/2006/relationships/hyperlink" Target="mailto:hammad.iqbal@fib.com.pk" TargetMode="External"/><Relationship Id="rId132" Type="http://schemas.openxmlformats.org/officeDocument/2006/relationships/hyperlink" Target="mailto:admin@mazars.pk" TargetMode="External"/><Relationship Id="rId153" Type="http://schemas.openxmlformats.org/officeDocument/2006/relationships/hyperlink" Target="mailto:s.misbah@miracleminerals.com.pk" TargetMode="External"/><Relationship Id="rId174" Type="http://schemas.openxmlformats.org/officeDocument/2006/relationships/hyperlink" Target="mailto:yasar.z@baysinternational.com" TargetMode="External"/><Relationship Id="rId179" Type="http://schemas.openxmlformats.org/officeDocument/2006/relationships/hyperlink" Target="mailto:uzma.saleem@ahkgroup.com" TargetMode="External"/><Relationship Id="rId190" Type="http://schemas.openxmlformats.org/officeDocument/2006/relationships/hyperlink" Target="mailto:qaziumar.farooq@abacus-global.com%3E" TargetMode="External"/><Relationship Id="rId15" Type="http://schemas.openxmlformats.org/officeDocument/2006/relationships/hyperlink" Target="mailto:maslam@grasso-adearest.com" TargetMode="External"/><Relationship Id="rId36" Type="http://schemas.openxmlformats.org/officeDocument/2006/relationships/hyperlink" Target="mailto:rashid.minhas@rd.net.pk" TargetMode="External"/><Relationship Id="rId57" Type="http://schemas.openxmlformats.org/officeDocument/2006/relationships/hyperlink" Target="mailto:asadshah@esquare.com.pk" TargetMode="External"/><Relationship Id="rId106" Type="http://schemas.openxmlformats.org/officeDocument/2006/relationships/hyperlink" Target="mailto:johar.rizvi@gettectonic.com" TargetMode="External"/><Relationship Id="rId127" Type="http://schemas.openxmlformats.org/officeDocument/2006/relationships/hyperlink" Target="mailto:abishay@airlifttech.com" TargetMode="External"/><Relationship Id="rId10" Type="http://schemas.openxmlformats.org/officeDocument/2006/relationships/hyperlink" Target="mailto:asif.khan@dabbawalas.ltd" TargetMode="External"/><Relationship Id="rId31" Type="http://schemas.openxmlformats.org/officeDocument/2006/relationships/hyperlink" Target="mailto:zakish@otc.com.pk" TargetMode="External"/><Relationship Id="rId52" Type="http://schemas.openxmlformats.org/officeDocument/2006/relationships/hyperlink" Target="mailto:farhankhan@unibrush.com" TargetMode="External"/><Relationship Id="rId73" Type="http://schemas.openxmlformats.org/officeDocument/2006/relationships/hyperlink" Target="mailto:raheel.shaikh@salaamtakaful.com" TargetMode="External"/><Relationship Id="rId78" Type="http://schemas.openxmlformats.org/officeDocument/2006/relationships/hyperlink" Target="mailto:sierratextiles@gmail.com" TargetMode="External"/><Relationship Id="rId94" Type="http://schemas.openxmlformats.org/officeDocument/2006/relationships/hyperlink" Target="mailto:kashifjan@smiu.edu.pk" TargetMode="External"/><Relationship Id="rId99" Type="http://schemas.openxmlformats.org/officeDocument/2006/relationships/hyperlink" Target="mailto:javed.iqbal@csd.gov.pk" TargetMode="External"/><Relationship Id="rId101" Type="http://schemas.openxmlformats.org/officeDocument/2006/relationships/hyperlink" Target="mailto:waqas.rehman@nagariatextiles.com" TargetMode="External"/><Relationship Id="rId122" Type="http://schemas.openxmlformats.org/officeDocument/2006/relationships/hyperlink" Target="mailto:s.ahmed.siliconplex@gmail.com" TargetMode="External"/><Relationship Id="rId143" Type="http://schemas.openxmlformats.org/officeDocument/2006/relationships/hyperlink" Target="mailto:fahad.khatri@dwwlg.com" TargetMode="External"/><Relationship Id="rId148" Type="http://schemas.openxmlformats.org/officeDocument/2006/relationships/hyperlink" Target="mailto:ramsha@scalemill.com" TargetMode="External"/><Relationship Id="rId164" Type="http://schemas.openxmlformats.org/officeDocument/2006/relationships/hyperlink" Target="mailto:hr@codeninjaconsulting.com" TargetMode="External"/><Relationship Id="rId169" Type="http://schemas.openxmlformats.org/officeDocument/2006/relationships/hyperlink" Target="mailto:alkindi@ufs.com.pk" TargetMode="External"/><Relationship Id="rId185" Type="http://schemas.openxmlformats.org/officeDocument/2006/relationships/hyperlink" Target="mailto:khalid@sunflower.com.pk" TargetMode="External"/><Relationship Id="rId4" Type="http://schemas.openxmlformats.org/officeDocument/2006/relationships/hyperlink" Target="mailto:imran@anamweaving.com" TargetMode="External"/><Relationship Id="rId9" Type="http://schemas.openxmlformats.org/officeDocument/2006/relationships/hyperlink" Target="mailto:tahir.naseem@chef.org.pk" TargetMode="External"/><Relationship Id="rId180" Type="http://schemas.openxmlformats.org/officeDocument/2006/relationships/hyperlink" Target="mailto:rameez@ranipursugarmills.com" TargetMode="External"/><Relationship Id="rId26" Type="http://schemas.openxmlformats.org/officeDocument/2006/relationships/hyperlink" Target="mailto:bilal@maryam.com.pk" TargetMode="External"/><Relationship Id="rId47" Type="http://schemas.openxmlformats.org/officeDocument/2006/relationships/hyperlink" Target="mailto:sadia.mumtaz@wiseman.com" TargetMode="External"/><Relationship Id="rId68" Type="http://schemas.openxmlformats.org/officeDocument/2006/relationships/hyperlink" Target="mailto:connect@tolaassociates.com" TargetMode="External"/><Relationship Id="rId89" Type="http://schemas.openxmlformats.org/officeDocument/2006/relationships/hyperlink" Target="mailto:syed_aqeel.ahmed@novartis.com" TargetMode="External"/><Relationship Id="rId112" Type="http://schemas.openxmlformats.org/officeDocument/2006/relationships/hyperlink" Target="mailto:muhammad.farhan@uniqueinsurancebrokers.com" TargetMode="External"/><Relationship Id="rId133" Type="http://schemas.openxmlformats.org/officeDocument/2006/relationships/hyperlink" Target="mailto:shamsifoundation@gmail.com" TargetMode="External"/><Relationship Id="rId154" Type="http://schemas.openxmlformats.org/officeDocument/2006/relationships/hyperlink" Target="mailto:ahmed.hassan@tabrospharma.com" TargetMode="External"/><Relationship Id="rId175" Type="http://schemas.openxmlformats.org/officeDocument/2006/relationships/hyperlink" Target="mailto:hr@kardiya.com" TargetMode="External"/><Relationship Id="rId16" Type="http://schemas.openxmlformats.org/officeDocument/2006/relationships/hyperlink" Target="mailto:hr.record@froebels.edu.pk" TargetMode="External"/><Relationship Id="rId37" Type="http://schemas.openxmlformats.org/officeDocument/2006/relationships/hyperlink" Target="mailto:hr@saufik.com" TargetMode="External"/><Relationship Id="rId58" Type="http://schemas.openxmlformats.org/officeDocument/2006/relationships/hyperlink" Target="mailto:javeria@digitalgravity.ae" TargetMode="External"/><Relationship Id="rId79" Type="http://schemas.openxmlformats.org/officeDocument/2006/relationships/hyperlink" Target="mailto:farid.khan@cirrus-intl.com" TargetMode="External"/><Relationship Id="rId102" Type="http://schemas.openxmlformats.org/officeDocument/2006/relationships/hyperlink" Target="mailto:shehryar@zamantextile.com" TargetMode="External"/><Relationship Id="rId123" Type="http://schemas.openxmlformats.org/officeDocument/2006/relationships/hyperlink" Target="mailto:accounts@luckyimpex.com" TargetMode="External"/><Relationship Id="rId144" Type="http://schemas.openxmlformats.org/officeDocument/2006/relationships/hyperlink" Target="mailto:suraya.ali@advancedhealth.com.pk" TargetMode="External"/><Relationship Id="rId90" Type="http://schemas.openxmlformats.org/officeDocument/2006/relationships/hyperlink" Target="mailto:aleem@rni.com.pk" TargetMode="External"/><Relationship Id="rId165" Type="http://schemas.openxmlformats.org/officeDocument/2006/relationships/hyperlink" Target="mailto:sharmeen.mehmood@kaispe.com" TargetMode="External"/><Relationship Id="rId186" Type="http://schemas.openxmlformats.org/officeDocument/2006/relationships/hyperlink" Target="mailto:khurram.morris@arifhabibltd.com" TargetMode="External"/><Relationship Id="rId27" Type="http://schemas.openxmlformats.org/officeDocument/2006/relationships/hyperlink" Target="mailto:fahad.shaheryar@meritincentive.com" TargetMode="External"/><Relationship Id="rId48" Type="http://schemas.openxmlformats.org/officeDocument/2006/relationships/hyperlink" Target="mailto:muhammad.usama@fib.com.pk" TargetMode="External"/><Relationship Id="rId69" Type="http://schemas.openxmlformats.org/officeDocument/2006/relationships/hyperlink" Target="mailto:imran.haider@readyeducation.com" TargetMode="External"/><Relationship Id="rId113" Type="http://schemas.openxmlformats.org/officeDocument/2006/relationships/hyperlink" Target="mailto:muhammad.farhan@uniqueinsurancebrokers.com" TargetMode="External"/><Relationship Id="rId134" Type="http://schemas.openxmlformats.org/officeDocument/2006/relationships/hyperlink" Target="mailto:shirin@rmspk.com" TargetMode="External"/><Relationship Id="rId80" Type="http://schemas.openxmlformats.org/officeDocument/2006/relationships/hyperlink" Target="mailto:finance@zavia.com.pk" TargetMode="External"/><Relationship Id="rId155" Type="http://schemas.openxmlformats.org/officeDocument/2006/relationships/hyperlink" Target="mailto:medical.mgc@mgcpakistan.com" TargetMode="External"/><Relationship Id="rId176" Type="http://schemas.openxmlformats.org/officeDocument/2006/relationships/hyperlink" Target="mailto:attn.muhammad@gmail.com" TargetMode="External"/><Relationship Id="rId17" Type="http://schemas.openxmlformats.org/officeDocument/2006/relationships/hyperlink" Target="mailto:niaztoru@gmail.com" TargetMode="External"/><Relationship Id="rId38" Type="http://schemas.openxmlformats.org/officeDocument/2006/relationships/hyperlink" Target="mailto:imran@anamweaving.com" TargetMode="External"/><Relationship Id="rId59" Type="http://schemas.openxmlformats.org/officeDocument/2006/relationships/hyperlink" Target="mailto:accounts-1@zishanengineers.com" TargetMode="External"/><Relationship Id="rId103" Type="http://schemas.openxmlformats.org/officeDocument/2006/relationships/hyperlink" Target="mailto:ali.asghar@premiergroup.com.pk" TargetMode="External"/><Relationship Id="rId124" Type="http://schemas.openxmlformats.org/officeDocument/2006/relationships/hyperlink" Target="mailto:admin@hubleather.com" TargetMode="External"/><Relationship Id="rId70" Type="http://schemas.openxmlformats.org/officeDocument/2006/relationships/hyperlink" Target="mailto:ab.kareemshah@gmail.com" TargetMode="External"/><Relationship Id="rId91" Type="http://schemas.openxmlformats.org/officeDocument/2006/relationships/hyperlink" Target="mailto:hr@mimaknit.com" TargetMode="External"/><Relationship Id="rId145" Type="http://schemas.openxmlformats.org/officeDocument/2006/relationships/hyperlink" Target="mailto:syedaaqsa@ams-org.com" TargetMode="External"/><Relationship Id="rId166" Type="http://schemas.openxmlformats.org/officeDocument/2006/relationships/hyperlink" Target="mailto:qasim@impulztech.com" TargetMode="External"/><Relationship Id="rId187" Type="http://schemas.openxmlformats.org/officeDocument/2006/relationships/hyperlink" Target="mailto:junaid.sheikh@kualitatem.com" TargetMode="External"/><Relationship Id="rId1" Type="http://schemas.openxmlformats.org/officeDocument/2006/relationships/hyperlink" Target="mailto:mudassar.iqbal@abacus-global.com" TargetMode="External"/><Relationship Id="rId28" Type="http://schemas.openxmlformats.org/officeDocument/2006/relationships/hyperlink" Target="mailto:musman@maservices-ltd.com" TargetMode="External"/><Relationship Id="rId49" Type="http://schemas.openxmlformats.org/officeDocument/2006/relationships/hyperlink" Target="mailto:Naseer.khan@albaraka.com.pk" TargetMode="External"/><Relationship Id="rId114" Type="http://schemas.openxmlformats.org/officeDocument/2006/relationships/hyperlink" Target="mailto:fasih.ahmed@rmspk.com" TargetMode="External"/><Relationship Id="rId60" Type="http://schemas.openxmlformats.org/officeDocument/2006/relationships/hyperlink" Target="mailto:hr@nxb.com.pk" TargetMode="External"/><Relationship Id="rId81" Type="http://schemas.openxmlformats.org/officeDocument/2006/relationships/hyperlink" Target="mailto:rameez.mehboob@salaamtakaful.com" TargetMode="External"/><Relationship Id="rId135" Type="http://schemas.openxmlformats.org/officeDocument/2006/relationships/hyperlink" Target="mailto:haris.javed@tradewheel.com" TargetMode="External"/><Relationship Id="rId156" Type="http://schemas.openxmlformats.org/officeDocument/2006/relationships/hyperlink" Target="mailto:sfatima@foree.co" TargetMode="External"/><Relationship Id="rId177" Type="http://schemas.openxmlformats.org/officeDocument/2006/relationships/hyperlink" Target="mailto:nabeel@toyota-pq.com" TargetMode="External"/><Relationship Id="rId18" Type="http://schemas.openxmlformats.org/officeDocument/2006/relationships/hyperlink" Target="mailto:ghulamsarwar1999@gmail.com" TargetMode="External"/><Relationship Id="rId39" Type="http://schemas.openxmlformats.org/officeDocument/2006/relationships/hyperlink" Target="mailto:rida@clearstonegroup.com.p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laam@123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Salaam@123" TargetMode="External"/><Relationship Id="rId1" Type="http://schemas.openxmlformats.org/officeDocument/2006/relationships/hyperlink" Target="mailto:Salaam@123" TargetMode="External"/><Relationship Id="rId6" Type="http://schemas.openxmlformats.org/officeDocument/2006/relationships/hyperlink" Target="mailto:hamza@bills-inc.com" TargetMode="External"/><Relationship Id="rId5" Type="http://schemas.openxmlformats.org/officeDocument/2006/relationships/hyperlink" Target="mailto:Salaam@123" TargetMode="External"/><Relationship Id="rId4" Type="http://schemas.openxmlformats.org/officeDocument/2006/relationships/hyperlink" Target="mailto:Salaa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A973-A483-473A-92C1-9760BB720A92}">
  <dimension ref="A1:AP1023"/>
  <sheetViews>
    <sheetView tabSelected="1" zoomScale="70" zoomScaleNormal="70" workbookViewId="0">
      <pane ySplit="1" topLeftCell="A285" activePane="bottomLeft" state="frozen"/>
      <selection activeCell="A17" sqref="A17"/>
      <selection pane="bottomLeft" activeCell="B287" sqref="B287"/>
    </sheetView>
  </sheetViews>
  <sheetFormatPr defaultColWidth="30.83203125" defaultRowHeight="12" x14ac:dyDescent="0.2"/>
  <cols>
    <col min="1" max="1" width="8.33203125" bestFit="1" customWidth="1"/>
    <col min="2" max="2" width="17.33203125" bestFit="1" customWidth="1"/>
    <col min="3" max="3" width="9.33203125" customWidth="1"/>
    <col min="4" max="4" width="42.83203125" bestFit="1" customWidth="1"/>
    <col min="5" max="5" width="20.33203125" bestFit="1" customWidth="1"/>
    <col min="6" max="6" width="9" bestFit="1" customWidth="1"/>
    <col min="7" max="7" width="26.1640625" bestFit="1" customWidth="1"/>
    <col min="8" max="8" width="8.6640625" bestFit="1" customWidth="1"/>
    <col min="9" max="9" width="8.5" bestFit="1" customWidth="1"/>
    <col min="10" max="10" width="53.33203125" bestFit="1" customWidth="1"/>
    <col min="11" max="11" width="89.5" bestFit="1" customWidth="1"/>
    <col min="12" max="12" width="54.5" bestFit="1" customWidth="1"/>
    <col min="13" max="13" width="62.6640625" bestFit="1" customWidth="1"/>
    <col min="14" max="14" width="12.5" bestFit="1" customWidth="1"/>
    <col min="15" max="15" width="12.6640625" bestFit="1" customWidth="1"/>
    <col min="16" max="16" width="15.33203125" bestFit="1" customWidth="1"/>
    <col min="17" max="17" width="8.33203125" bestFit="1" customWidth="1"/>
    <col min="18" max="18" width="8" bestFit="1" customWidth="1"/>
    <col min="19" max="19" width="50" style="13" customWidth="1"/>
    <col min="20" max="20" width="48.33203125" style="13" customWidth="1"/>
    <col min="21" max="21" width="27.83203125" style="13" customWidth="1"/>
    <col min="22" max="22" width="15.5" style="13" customWidth="1"/>
    <col min="42" max="42" width="34.33203125" customWidth="1"/>
  </cols>
  <sheetData>
    <row r="1" spans="1:42" s="3" customFormat="1" ht="38.25" x14ac:dyDescent="0.2">
      <c r="A1" s="1" t="s">
        <v>269</v>
      </c>
      <c r="B1" s="2" t="s">
        <v>270</v>
      </c>
      <c r="C1" s="2" t="s">
        <v>271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1" t="s">
        <v>279</v>
      </c>
      <c r="L1" s="1" t="s">
        <v>556</v>
      </c>
      <c r="M1" s="1" t="s">
        <v>557</v>
      </c>
      <c r="N1" s="2" t="s">
        <v>280</v>
      </c>
      <c r="O1" s="2" t="s">
        <v>281</v>
      </c>
      <c r="P1" s="2" t="s">
        <v>282</v>
      </c>
      <c r="Q1" s="2" t="s">
        <v>283</v>
      </c>
      <c r="R1" s="2" t="s">
        <v>284</v>
      </c>
      <c r="S1" s="84" t="s">
        <v>810</v>
      </c>
      <c r="T1" s="84"/>
      <c r="U1" s="84" t="s">
        <v>811</v>
      </c>
      <c r="V1" s="84"/>
      <c r="W1" s="84" t="s">
        <v>812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</row>
    <row r="2" spans="1:42" s="6" customFormat="1" ht="69.75" customHeight="1" x14ac:dyDescent="0.2">
      <c r="A2" s="4">
        <v>1</v>
      </c>
      <c r="B2" s="5" t="s">
        <v>659</v>
      </c>
      <c r="C2" s="5">
        <v>9000230</v>
      </c>
      <c r="D2" s="6" t="s">
        <v>494</v>
      </c>
      <c r="E2" s="6" t="s">
        <v>299</v>
      </c>
      <c r="F2" s="5" t="s">
        <v>287</v>
      </c>
      <c r="G2" s="6" t="s">
        <v>288</v>
      </c>
      <c r="H2" s="5" t="s">
        <v>649</v>
      </c>
      <c r="I2" s="5">
        <v>779</v>
      </c>
      <c r="J2" s="5" t="s">
        <v>263</v>
      </c>
      <c r="K2" s="6" t="s">
        <v>496</v>
      </c>
      <c r="L2" s="6" t="s">
        <v>145</v>
      </c>
      <c r="M2" s="6" t="s">
        <v>146</v>
      </c>
      <c r="N2" s="7">
        <v>44245</v>
      </c>
      <c r="O2" s="7">
        <v>44197</v>
      </c>
      <c r="P2" s="7">
        <v>44561</v>
      </c>
      <c r="Q2" s="8">
        <v>17</v>
      </c>
      <c r="R2" s="8">
        <v>24</v>
      </c>
      <c r="S2" s="12" t="str">
        <f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2" s="12" t="str">
        <f>"VALUES('"&amp;B2&amp;"','"&amp;K2&amp;"','Salaam@123','Y','N',sysdate,'016', 'C', 'Client', '"&amp;M2&amp;"','01','B', '08', 'ABDUL', sysdate, '10.6.100.63', '"&amp;B2&amp;"');"</f>
        <v>VALUES('08801198','A.S TRADERS','Salaam@123','Y','N',sysdate,'016', 'C', 'Client', 'faisal-hr@nelsonpaints.com ','01','B', '08', 'ABDUL', sysdate, '10.6.100.63', '08801198');</v>
      </c>
      <c r="U2" s="12" t="str">
        <f>"INSERT INTO sy_user_branches (USER_CD, BRANCH_CODE, CLASS_CODE, ENT_BY, ENT_DATE, ENT_BY_IP)"</f>
        <v>INSERT INTO sy_user_branches (USER_CD, BRANCH_CODE, CLASS_CODE, ENT_BY, ENT_DATE, ENT_BY_IP)</v>
      </c>
      <c r="V2" s="12" t="str">
        <f>"values('"&amp;B2&amp;"','01', '08', 'ABDUL', sysdate, '10.6.100.63');"</f>
        <v>values('08801198','01', '08', 'ABDUL', sysdate, '10.6.100.63');</v>
      </c>
      <c r="W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X2" s="12" t="str">
        <f>"VALUES('"&amp;B2&amp;"','ClaimComments.aspx', 'USER', '01', '08', 'ABDUL', SYSDATE, '10.6.100.63');"</f>
        <v>VALUES('08801198','ClaimComments.aspx', 'USER', '01', '08', 'ABDUL', SYSDATE, '10.6.100.63');</v>
      </c>
      <c r="Y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Z2" s="12" t="str">
        <f>"VALUES('"&amp;B2&amp;"','ClaimDocs.aspx', 'USER', '01', '08', 'ABDUL', SYSDATE, '10.6.100.63');"</f>
        <v>VALUES('08801198','ClaimDocs.aspx', 'USER', '01', '08', 'ABDUL', SYSDATE, '10.6.100.63');</v>
      </c>
      <c r="AA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B2" s="12" t="str">
        <f>"VALUES('"&amp;B2&amp;"','Client.aspx', 'USER', '01', '08', 'ABDUL', SYSDATE, '10.6.100.63');"</f>
        <v>VALUES('08801198','Client.aspx', 'USER', '01', '08', 'ABDUL', SYSDATE, '10.6.100.63');</v>
      </c>
      <c r="AC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D2" s="12" t="str">
        <f>"VALUES('"&amp;B2&amp;"','ClientReports.aspx', 'USER', '01', '08', 'ABDUL', SYSDATE, '10.6.100.63');"</f>
        <v>VALUES('08801198','ClientReports.aspx', 'USER', '01', '08', 'ABDUL', SYSDATE, '10.6.100.63');</v>
      </c>
      <c r="AE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F2" s="12" t="str">
        <f>"VALUES('"&amp;B2&amp;"','ClientRequests.aspx', 'USER', '01', '08', 'ABDUL', SYSDATE, '10.6.100.63');"</f>
        <v>VALUES('08801198','ClientRequests.aspx', 'USER', '01', '08', 'ABDUL', SYSDATE, '10.6.100.63');</v>
      </c>
      <c r="AG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H2" s="12" t="str">
        <f>"VALUES('"&amp;B2&amp;"','HealthLife.aspx', 'USER', '01', '08', 'ABDUL', SYSDATE, '10.6.100.63');"</f>
        <v>VALUES('08801198','HealthLife.aspx', 'USER', '01', '08', 'ABDUL', SYSDATE, '10.6.100.63');</v>
      </c>
      <c r="AI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J2" s="12" t="str">
        <f>"VALUES('"&amp;B2&amp;"','IpdClaim.aspx', 'USER', '01', '08', 'ABDUL', SYSDATE, '10.6.100.63');"</f>
        <v>VALUES('08801198','IpdClaim.aspx', 'USER', '01', '08', 'ABDUL', SYSDATE, '10.6.100.63');</v>
      </c>
      <c r="AK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L2" s="12" t="str">
        <f>"VALUES('"&amp;B2&amp;"','OpdClaim.aspx', 'USER', '01', '08', 'ABDUL', SYSDATE, '10.6.100.63');"</f>
        <v>VALUES('08801198','OpdClaim.aspx', 'USER', '01', '08', 'ABDUL', SYSDATE, '10.6.100.63');</v>
      </c>
      <c r="AM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N2" s="12" t="str">
        <f>"VALUES('"&amp;B2&amp;"','RequestDetails.aspx', 'USER', '01', '08', 'ABDUL', SYSDATE, '10.6.100.63');"</f>
        <v>VALUES('08801198','RequestDetails.aspx', 'USER', '01', '08', 'ABDUL', SYSDATE, '10.6.100.63');</v>
      </c>
      <c r="AO2" s="12" t="str">
        <f>"INSERT INTO sy_perm_list (USER_CD, OPT_CD, ACCESS_TYPE, BRANCH_CODE, CLASS_CODE, ENT_BY, ENT_DATE, ENT_BY_IP)"</f>
        <v>INSERT INTO sy_perm_list (USER_CD, OPT_CD, ACCESS_TYPE, BRANCH_CODE, CLASS_CODE, ENT_BY, ENT_DATE, ENT_BY_IP)</v>
      </c>
      <c r="AP2" s="12" t="str">
        <f>"VALUES('"&amp;B2&amp;"','TodaysRequest.aspx', 'USER', '01', '08', 'ABDUL', SYSDATE, '10.6.100.63');"</f>
        <v>VALUES('08801198','TodaysRequest.aspx', 'USER', '01', '08', 'ABDUL', SYSDATE, '10.6.100.63');</v>
      </c>
    </row>
    <row r="3" spans="1:42" s="6" customFormat="1" ht="76.5" x14ac:dyDescent="0.2">
      <c r="A3" s="4">
        <v>2</v>
      </c>
      <c r="B3" s="5" t="s">
        <v>660</v>
      </c>
      <c r="C3" s="5">
        <v>9000221</v>
      </c>
      <c r="D3" s="6" t="s">
        <v>285</v>
      </c>
      <c r="E3" s="6" t="s">
        <v>286</v>
      </c>
      <c r="F3" s="5" t="s">
        <v>287</v>
      </c>
      <c r="G3" s="6" t="s">
        <v>288</v>
      </c>
      <c r="H3" s="5" t="s">
        <v>650</v>
      </c>
      <c r="I3" s="5">
        <v>735</v>
      </c>
      <c r="J3" s="5" t="s">
        <v>449</v>
      </c>
      <c r="K3" s="6" t="s">
        <v>450</v>
      </c>
      <c r="L3" s="6" t="s">
        <v>558</v>
      </c>
      <c r="M3" s="6" t="s">
        <v>559</v>
      </c>
      <c r="N3" s="7">
        <v>44209</v>
      </c>
      <c r="O3" s="7">
        <v>44197</v>
      </c>
      <c r="P3" s="7">
        <v>44561</v>
      </c>
      <c r="Q3" s="8">
        <v>13</v>
      </c>
      <c r="R3" s="8">
        <v>13</v>
      </c>
      <c r="S3" s="12" t="str">
        <f t="shared" ref="S3:S86" si="0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3" s="12" t="str">
        <f t="shared" ref="T3:T86" si="1">"VALUES('"&amp;B3&amp;"','"&amp;K3&amp;"','Salaam@123','Y','N',sysdate,'016', 'C', 'Client', '"&amp;M3&amp;"','01','B', '08', 'ABDUL', sysdate, '10.6.100.63', '"&amp;B3&amp;"');"</f>
        <v>VALUES('08801705','ABACUS ELS (PRIVATE) LIMITED','Salaam@123','Y','N',sysdate,'016', 'C', 'Client', 'mudassar.iqbal@abacus-global.com','01','B', '08', 'ABDUL', sysdate, '10.6.100.63', '08801705');</v>
      </c>
      <c r="U3" s="12" t="str">
        <f t="shared" ref="U3:U86" si="2">"INSERT INTO sy_user_branches (USER_CD, BRANCH_CODE, CLASS_CODE, ENT_BY, ENT_DATE, ENT_BY_IP)"</f>
        <v>INSERT INTO sy_user_branches (USER_CD, BRANCH_CODE, CLASS_CODE, ENT_BY, ENT_DATE, ENT_BY_IP)</v>
      </c>
      <c r="V3" s="12" t="str">
        <f t="shared" ref="V3:V86" si="3">"values('"&amp;B3&amp;"','01', '08', 'ABDUL', sysdate, '10.6.100.63');"</f>
        <v>values('08801705','01', '08', 'ABDUL', sysdate, '10.6.100.63');</v>
      </c>
      <c r="W3" s="12" t="str">
        <f t="shared" ref="W3:W86" si="4">"INSERT INTO sy_perm_list (USER_CD, OPT_CD, ACCESS_TYPE, BRANCH_CODE, CLASS_CODE, ENT_BY, ENT_DATE, ENT_BY_IP)"</f>
        <v>INSERT INTO sy_perm_list (USER_CD, OPT_CD, ACCESS_TYPE, BRANCH_CODE, CLASS_CODE, ENT_BY, ENT_DATE, ENT_BY_IP)</v>
      </c>
      <c r="X3" s="12" t="str">
        <f t="shared" ref="X3:X86" si="5">"VALUES('"&amp;B3&amp;"','ClaimComments.aspx', 'USER', '01', '08', 'ABDUL', SYSDATE, '10.6.100.63');"</f>
        <v>VALUES('08801705','ClaimComments.aspx', 'USER', '01', '08', 'ABDUL', SYSDATE, '10.6.100.63');</v>
      </c>
      <c r="Y3" s="12" t="str">
        <f t="shared" ref="Y3:Y86" si="6">"INSERT INTO sy_perm_list (USER_CD, OPT_CD, ACCESS_TYPE, BRANCH_CODE, CLASS_CODE, ENT_BY, ENT_DATE, ENT_BY_IP)"</f>
        <v>INSERT INTO sy_perm_list (USER_CD, OPT_CD, ACCESS_TYPE, BRANCH_CODE, CLASS_CODE, ENT_BY, ENT_DATE, ENT_BY_IP)</v>
      </c>
      <c r="Z3" s="12" t="str">
        <f t="shared" ref="Z3:Z86" si="7">"VALUES('"&amp;B3&amp;"','ClaimDocs.aspx', 'USER', '01', '08', 'ABDUL', SYSDATE, '10.6.100.63');"</f>
        <v>VALUES('08801705','ClaimDocs.aspx', 'USER', '01', '08', 'ABDUL', SYSDATE, '10.6.100.63');</v>
      </c>
      <c r="AA3" s="12" t="str">
        <f t="shared" ref="AA3:AA86" si="8">"INSERT INTO sy_perm_list (USER_CD, OPT_CD, ACCESS_TYPE, BRANCH_CODE, CLASS_CODE, ENT_BY, ENT_DATE, ENT_BY_IP)"</f>
        <v>INSERT INTO sy_perm_list (USER_CD, OPT_CD, ACCESS_TYPE, BRANCH_CODE, CLASS_CODE, ENT_BY, ENT_DATE, ENT_BY_IP)</v>
      </c>
      <c r="AB3" s="12" t="str">
        <f t="shared" ref="AB3:AB86" si="9">"VALUES('"&amp;B3&amp;"','Client.aspx', 'USER', '01', '08', 'ABDUL', SYSDATE, '10.6.100.63');"</f>
        <v>VALUES('08801705','Client.aspx', 'USER', '01', '08', 'ABDUL', SYSDATE, '10.6.100.63');</v>
      </c>
      <c r="AC3" s="12" t="str">
        <f t="shared" ref="AC3:AC86" si="10">"INSERT INTO sy_perm_list (USER_CD, OPT_CD, ACCESS_TYPE, BRANCH_CODE, CLASS_CODE, ENT_BY, ENT_DATE, ENT_BY_IP)"</f>
        <v>INSERT INTO sy_perm_list (USER_CD, OPT_CD, ACCESS_TYPE, BRANCH_CODE, CLASS_CODE, ENT_BY, ENT_DATE, ENT_BY_IP)</v>
      </c>
      <c r="AD3" s="12" t="str">
        <f t="shared" ref="AD3:AD86" si="11">"VALUES('"&amp;B3&amp;"','ClientReports.aspx', 'USER', '01', '08', 'ABDUL', SYSDATE, '10.6.100.63');"</f>
        <v>VALUES('08801705','ClientReports.aspx', 'USER', '01', '08', 'ABDUL', SYSDATE, '10.6.100.63');</v>
      </c>
      <c r="AE3" s="12" t="str">
        <f t="shared" ref="AE3:AE86" si="12">"INSERT INTO sy_perm_list (USER_CD, OPT_CD, ACCESS_TYPE, BRANCH_CODE, CLASS_CODE, ENT_BY, ENT_DATE, ENT_BY_IP)"</f>
        <v>INSERT INTO sy_perm_list (USER_CD, OPT_CD, ACCESS_TYPE, BRANCH_CODE, CLASS_CODE, ENT_BY, ENT_DATE, ENT_BY_IP)</v>
      </c>
      <c r="AF3" s="12" t="str">
        <f t="shared" ref="AF3:AF86" si="13">"VALUES('"&amp;B3&amp;"','ClientRequests.aspx', 'USER', '01', '08', 'ABDUL', SYSDATE, '10.6.100.63');"</f>
        <v>VALUES('08801705','ClientRequests.aspx', 'USER', '01', '08', 'ABDUL', SYSDATE, '10.6.100.63');</v>
      </c>
      <c r="AG3" s="12" t="str">
        <f t="shared" ref="AG3:AG86" si="14">"INSERT INTO sy_perm_list (USER_CD, OPT_CD, ACCESS_TYPE, BRANCH_CODE, CLASS_CODE, ENT_BY, ENT_DATE, ENT_BY_IP)"</f>
        <v>INSERT INTO sy_perm_list (USER_CD, OPT_CD, ACCESS_TYPE, BRANCH_CODE, CLASS_CODE, ENT_BY, ENT_DATE, ENT_BY_IP)</v>
      </c>
      <c r="AH3" s="12" t="str">
        <f t="shared" ref="AH3:AH86" si="15">"VALUES('"&amp;B3&amp;"','HealthLife.aspx', 'USER', '01', '08', 'ABDUL', SYSDATE, '10.6.100.63');"</f>
        <v>VALUES('08801705','HealthLife.aspx', 'USER', '01', '08', 'ABDUL', SYSDATE, '10.6.100.63');</v>
      </c>
      <c r="AI3" s="12" t="str">
        <f t="shared" ref="AI3:AI86" si="16">"INSERT INTO sy_perm_list (USER_CD, OPT_CD, ACCESS_TYPE, BRANCH_CODE, CLASS_CODE, ENT_BY, ENT_DATE, ENT_BY_IP)"</f>
        <v>INSERT INTO sy_perm_list (USER_CD, OPT_CD, ACCESS_TYPE, BRANCH_CODE, CLASS_CODE, ENT_BY, ENT_DATE, ENT_BY_IP)</v>
      </c>
      <c r="AJ3" s="12" t="str">
        <f t="shared" ref="AJ3:AJ86" si="17">"VALUES('"&amp;B3&amp;"','IpdClaim.aspx', 'USER', '01', '08', 'ABDUL', SYSDATE, '10.6.100.63');"</f>
        <v>VALUES('08801705','IpdClaim.aspx', 'USER', '01', '08', 'ABDUL', SYSDATE, '10.6.100.63');</v>
      </c>
      <c r="AK3" s="12" t="str">
        <f t="shared" ref="AK3:AK86" si="18">"INSERT INTO sy_perm_list (USER_CD, OPT_CD, ACCESS_TYPE, BRANCH_CODE, CLASS_CODE, ENT_BY, ENT_DATE, ENT_BY_IP)"</f>
        <v>INSERT INTO sy_perm_list (USER_CD, OPT_CD, ACCESS_TYPE, BRANCH_CODE, CLASS_CODE, ENT_BY, ENT_DATE, ENT_BY_IP)</v>
      </c>
      <c r="AL3" s="12" t="str">
        <f t="shared" ref="AL3:AL86" si="19">"VALUES('"&amp;B3&amp;"','OpdClaim.aspx', 'USER', '01', '08', 'ABDUL', SYSDATE, '10.6.100.63');"</f>
        <v>VALUES('08801705','OpdClaim.aspx', 'USER', '01', '08', 'ABDUL', SYSDATE, '10.6.100.63');</v>
      </c>
      <c r="AM3" s="12" t="str">
        <f t="shared" ref="AM3:AM86" si="20">"INSERT INTO sy_perm_list (USER_CD, OPT_CD, ACCESS_TYPE, BRANCH_CODE, CLASS_CODE, ENT_BY, ENT_DATE, ENT_BY_IP)"</f>
        <v>INSERT INTO sy_perm_list (USER_CD, OPT_CD, ACCESS_TYPE, BRANCH_CODE, CLASS_CODE, ENT_BY, ENT_DATE, ENT_BY_IP)</v>
      </c>
      <c r="AN3" s="12" t="str">
        <f t="shared" ref="AN3:AN86" si="21">"VALUES('"&amp;B3&amp;"','RequestDetails.aspx', 'USER', '01', '08', 'ABDUL', SYSDATE, '10.6.100.63');"</f>
        <v>VALUES('08801705','RequestDetails.aspx', 'USER', '01', '08', 'ABDUL', SYSDATE, '10.6.100.63');</v>
      </c>
      <c r="AO3" s="12" t="str">
        <f t="shared" ref="AO3:AO86" si="22">"INSERT INTO sy_perm_list (USER_CD, OPT_CD, ACCESS_TYPE, BRANCH_CODE, CLASS_CODE, ENT_BY, ENT_DATE, ENT_BY_IP)"</f>
        <v>INSERT INTO sy_perm_list (USER_CD, OPT_CD, ACCESS_TYPE, BRANCH_CODE, CLASS_CODE, ENT_BY, ENT_DATE, ENT_BY_IP)</v>
      </c>
      <c r="AP3" s="12" t="str">
        <f t="shared" ref="AP3:AP86" si="23">"VALUES('"&amp;B3&amp;"','TodaysRequest.aspx', 'USER', '01', '08', 'ABDUL', SYSDATE, '10.6.100.63');"</f>
        <v>VALUES('08801705','TodaysRequest.aspx', 'USER', '01', '08', 'ABDUL', SYSDATE, '10.6.100.63');</v>
      </c>
    </row>
    <row r="4" spans="1:42" s="6" customFormat="1" ht="76.5" x14ac:dyDescent="0.2">
      <c r="A4" s="4">
        <v>3</v>
      </c>
      <c r="B4" s="5" t="s">
        <v>661</v>
      </c>
      <c r="C4" s="5">
        <v>9000283</v>
      </c>
      <c r="D4" s="6" t="s">
        <v>364</v>
      </c>
      <c r="E4" s="6" t="s">
        <v>290</v>
      </c>
      <c r="F4" s="5" t="s">
        <v>287</v>
      </c>
      <c r="G4" s="6" t="s">
        <v>288</v>
      </c>
      <c r="H4" s="5" t="s">
        <v>651</v>
      </c>
      <c r="I4" s="5">
        <v>626</v>
      </c>
      <c r="J4" s="5" t="s">
        <v>365</v>
      </c>
      <c r="K4" s="6" t="s">
        <v>366</v>
      </c>
      <c r="L4" s="6" t="s">
        <v>560</v>
      </c>
      <c r="M4" s="6" t="s">
        <v>561</v>
      </c>
      <c r="N4" s="7">
        <v>44098</v>
      </c>
      <c r="O4" s="7">
        <v>44098</v>
      </c>
      <c r="P4" s="7">
        <v>44462</v>
      </c>
      <c r="Q4" s="8">
        <v>104</v>
      </c>
      <c r="R4" s="8">
        <v>112</v>
      </c>
      <c r="S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" s="12" t="str">
        <f t="shared" si="1"/>
        <v>VALUES('08002022','ABASYN UNIVERSITY','Salaam@123','Y','N',sysdate,'016', 'C', 'Client', 'chancellor@abasyn.edu.pk','01','B', '08', 'ABDUL', sysdate, '10.6.100.63', '08002022');</v>
      </c>
      <c r="U4" s="12" t="str">
        <f t="shared" si="2"/>
        <v>INSERT INTO sy_user_branches (USER_CD, BRANCH_CODE, CLASS_CODE, ENT_BY, ENT_DATE, ENT_BY_IP)</v>
      </c>
      <c r="V4" s="12" t="str">
        <f t="shared" si="3"/>
        <v>values('08002022','01', '08', 'ABDUL', sysdate, '10.6.100.63');</v>
      </c>
      <c r="W4" s="12" t="str">
        <f t="shared" si="4"/>
        <v>INSERT INTO sy_perm_list (USER_CD, OPT_CD, ACCESS_TYPE, BRANCH_CODE, CLASS_CODE, ENT_BY, ENT_DATE, ENT_BY_IP)</v>
      </c>
      <c r="X4" s="12" t="str">
        <f t="shared" si="5"/>
        <v>VALUES('08002022','ClaimComments.aspx', 'USER', '01', '08', 'ABDUL', SYSDATE, '10.6.100.63');</v>
      </c>
      <c r="Y4" s="12" t="str">
        <f t="shared" si="6"/>
        <v>INSERT INTO sy_perm_list (USER_CD, OPT_CD, ACCESS_TYPE, BRANCH_CODE, CLASS_CODE, ENT_BY, ENT_DATE, ENT_BY_IP)</v>
      </c>
      <c r="Z4" s="12" t="str">
        <f t="shared" si="7"/>
        <v>VALUES('08002022','ClaimDocs.aspx', 'USER', '01', '08', 'ABDUL', SYSDATE, '10.6.100.63');</v>
      </c>
      <c r="AA4" s="12" t="str">
        <f t="shared" si="8"/>
        <v>INSERT INTO sy_perm_list (USER_CD, OPT_CD, ACCESS_TYPE, BRANCH_CODE, CLASS_CODE, ENT_BY, ENT_DATE, ENT_BY_IP)</v>
      </c>
      <c r="AB4" s="12" t="str">
        <f t="shared" si="9"/>
        <v>VALUES('08002022','Client.aspx', 'USER', '01', '08', 'ABDUL', SYSDATE, '10.6.100.63');</v>
      </c>
      <c r="AC4" s="12" t="str">
        <f t="shared" si="10"/>
        <v>INSERT INTO sy_perm_list (USER_CD, OPT_CD, ACCESS_TYPE, BRANCH_CODE, CLASS_CODE, ENT_BY, ENT_DATE, ENT_BY_IP)</v>
      </c>
      <c r="AD4" s="12" t="str">
        <f t="shared" si="11"/>
        <v>VALUES('08002022','ClientReports.aspx', 'USER', '01', '08', 'ABDUL', SYSDATE, '10.6.100.63');</v>
      </c>
      <c r="AE4" s="12" t="str">
        <f t="shared" si="12"/>
        <v>INSERT INTO sy_perm_list (USER_CD, OPT_CD, ACCESS_TYPE, BRANCH_CODE, CLASS_CODE, ENT_BY, ENT_DATE, ENT_BY_IP)</v>
      </c>
      <c r="AF4" s="12" t="str">
        <f t="shared" si="13"/>
        <v>VALUES('08002022','ClientRequests.aspx', 'USER', '01', '08', 'ABDUL', SYSDATE, '10.6.100.63');</v>
      </c>
      <c r="AG4" s="12" t="str">
        <f t="shared" si="14"/>
        <v>INSERT INTO sy_perm_list (USER_CD, OPT_CD, ACCESS_TYPE, BRANCH_CODE, CLASS_CODE, ENT_BY, ENT_DATE, ENT_BY_IP)</v>
      </c>
      <c r="AH4" s="12" t="str">
        <f t="shared" si="15"/>
        <v>VALUES('08002022','HealthLife.aspx', 'USER', '01', '08', 'ABDUL', SYSDATE, '10.6.100.63');</v>
      </c>
      <c r="AI4" s="12" t="str">
        <f t="shared" si="16"/>
        <v>INSERT INTO sy_perm_list (USER_CD, OPT_CD, ACCESS_TYPE, BRANCH_CODE, CLASS_CODE, ENT_BY, ENT_DATE, ENT_BY_IP)</v>
      </c>
      <c r="AJ4" s="12" t="str">
        <f t="shared" si="17"/>
        <v>VALUES('08002022','IpdClaim.aspx', 'USER', '01', '08', 'ABDUL', SYSDATE, '10.6.100.63');</v>
      </c>
      <c r="AK4" s="12" t="str">
        <f t="shared" si="18"/>
        <v>INSERT INTO sy_perm_list (USER_CD, OPT_CD, ACCESS_TYPE, BRANCH_CODE, CLASS_CODE, ENT_BY, ENT_DATE, ENT_BY_IP)</v>
      </c>
      <c r="AL4" s="12" t="str">
        <f t="shared" si="19"/>
        <v>VALUES('08002022','OpdClaim.aspx', 'USER', '01', '08', 'ABDUL', SYSDATE, '10.6.100.63');</v>
      </c>
      <c r="AM4" s="12" t="str">
        <f t="shared" si="20"/>
        <v>INSERT INTO sy_perm_list (USER_CD, OPT_CD, ACCESS_TYPE, BRANCH_CODE, CLASS_CODE, ENT_BY, ENT_DATE, ENT_BY_IP)</v>
      </c>
      <c r="AN4" s="12" t="str">
        <f t="shared" si="21"/>
        <v>VALUES('08002022','RequestDetails.aspx', 'USER', '01', '08', 'ABDUL', SYSDATE, '10.6.100.63');</v>
      </c>
      <c r="AO4" s="12" t="str">
        <f t="shared" si="22"/>
        <v>INSERT INTO sy_perm_list (USER_CD, OPT_CD, ACCESS_TYPE, BRANCH_CODE, CLASS_CODE, ENT_BY, ENT_DATE, ENT_BY_IP)</v>
      </c>
      <c r="AP4" s="12" t="str">
        <f t="shared" si="23"/>
        <v>VALUES('08002022','TodaysRequest.aspx', 'USER', '01', '08', 'ABDUL', SYSDATE, '10.6.100.63');</v>
      </c>
    </row>
    <row r="5" spans="1:42" s="6" customFormat="1" ht="76.5" x14ac:dyDescent="0.2">
      <c r="A5" s="4">
        <v>4</v>
      </c>
      <c r="B5" s="5" t="s">
        <v>662</v>
      </c>
      <c r="C5" s="5">
        <v>9000241</v>
      </c>
      <c r="D5" s="6" t="s">
        <v>296</v>
      </c>
      <c r="E5" s="6" t="s">
        <v>290</v>
      </c>
      <c r="F5" s="5" t="s">
        <v>287</v>
      </c>
      <c r="G5" s="6" t="s">
        <v>288</v>
      </c>
      <c r="H5" s="5" t="s">
        <v>649</v>
      </c>
      <c r="I5" s="5">
        <v>668</v>
      </c>
      <c r="J5" s="5" t="s">
        <v>264</v>
      </c>
      <c r="K5" s="6" t="s">
        <v>204</v>
      </c>
      <c r="L5" s="6" t="s">
        <v>205</v>
      </c>
      <c r="M5" s="6" t="s">
        <v>206</v>
      </c>
      <c r="N5" s="7">
        <v>44153</v>
      </c>
      <c r="O5" s="7">
        <v>44152</v>
      </c>
      <c r="P5" s="7">
        <v>44516</v>
      </c>
      <c r="Q5" s="8">
        <v>21</v>
      </c>
      <c r="R5" s="8">
        <v>46</v>
      </c>
      <c r="S5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5" s="12" t="str">
        <f t="shared" si="1"/>
        <v>VALUES('08801630','ACE COMMUNICATIONS','Salaam@123','Y','N',sysdate,'016', 'C', 'Client', 'saad.zubair@acmegt.com','01','B', '08', 'ABDUL', sysdate, '10.6.100.63', '08801630');</v>
      </c>
      <c r="U5" s="12" t="str">
        <f t="shared" si="2"/>
        <v>INSERT INTO sy_user_branches (USER_CD, BRANCH_CODE, CLASS_CODE, ENT_BY, ENT_DATE, ENT_BY_IP)</v>
      </c>
      <c r="V5" s="12" t="str">
        <f t="shared" si="3"/>
        <v>values('08801630','01', '08', 'ABDUL', sysdate, '10.6.100.63');</v>
      </c>
      <c r="W5" s="12" t="str">
        <f t="shared" si="4"/>
        <v>INSERT INTO sy_perm_list (USER_CD, OPT_CD, ACCESS_TYPE, BRANCH_CODE, CLASS_CODE, ENT_BY, ENT_DATE, ENT_BY_IP)</v>
      </c>
      <c r="X5" s="12" t="str">
        <f t="shared" si="5"/>
        <v>VALUES('08801630','ClaimComments.aspx', 'USER', '01', '08', 'ABDUL', SYSDATE, '10.6.100.63');</v>
      </c>
      <c r="Y5" s="12" t="str">
        <f t="shared" si="6"/>
        <v>INSERT INTO sy_perm_list (USER_CD, OPT_CD, ACCESS_TYPE, BRANCH_CODE, CLASS_CODE, ENT_BY, ENT_DATE, ENT_BY_IP)</v>
      </c>
      <c r="Z5" s="12" t="str">
        <f t="shared" si="7"/>
        <v>VALUES('08801630','ClaimDocs.aspx', 'USER', '01', '08', 'ABDUL', SYSDATE, '10.6.100.63');</v>
      </c>
      <c r="AA5" s="12" t="str">
        <f t="shared" si="8"/>
        <v>INSERT INTO sy_perm_list (USER_CD, OPT_CD, ACCESS_TYPE, BRANCH_CODE, CLASS_CODE, ENT_BY, ENT_DATE, ENT_BY_IP)</v>
      </c>
      <c r="AB5" s="12" t="str">
        <f t="shared" si="9"/>
        <v>VALUES('08801630','Client.aspx', 'USER', '01', '08', 'ABDUL', SYSDATE, '10.6.100.63');</v>
      </c>
      <c r="AC5" s="12" t="str">
        <f t="shared" si="10"/>
        <v>INSERT INTO sy_perm_list (USER_CD, OPT_CD, ACCESS_TYPE, BRANCH_CODE, CLASS_CODE, ENT_BY, ENT_DATE, ENT_BY_IP)</v>
      </c>
      <c r="AD5" s="12" t="str">
        <f t="shared" si="11"/>
        <v>VALUES('08801630','ClientReports.aspx', 'USER', '01', '08', 'ABDUL', SYSDATE, '10.6.100.63');</v>
      </c>
      <c r="AE5" s="12" t="str">
        <f t="shared" si="12"/>
        <v>INSERT INTO sy_perm_list (USER_CD, OPT_CD, ACCESS_TYPE, BRANCH_CODE, CLASS_CODE, ENT_BY, ENT_DATE, ENT_BY_IP)</v>
      </c>
      <c r="AF5" s="12" t="str">
        <f t="shared" si="13"/>
        <v>VALUES('08801630','ClientRequests.aspx', 'USER', '01', '08', 'ABDUL', SYSDATE, '10.6.100.63');</v>
      </c>
      <c r="AG5" s="12" t="str">
        <f t="shared" si="14"/>
        <v>INSERT INTO sy_perm_list (USER_CD, OPT_CD, ACCESS_TYPE, BRANCH_CODE, CLASS_CODE, ENT_BY, ENT_DATE, ENT_BY_IP)</v>
      </c>
      <c r="AH5" s="12" t="str">
        <f t="shared" si="15"/>
        <v>VALUES('08801630','HealthLife.aspx', 'USER', '01', '08', 'ABDUL', SYSDATE, '10.6.100.63');</v>
      </c>
      <c r="AI5" s="12" t="str">
        <f t="shared" si="16"/>
        <v>INSERT INTO sy_perm_list (USER_CD, OPT_CD, ACCESS_TYPE, BRANCH_CODE, CLASS_CODE, ENT_BY, ENT_DATE, ENT_BY_IP)</v>
      </c>
      <c r="AJ5" s="12" t="str">
        <f t="shared" si="17"/>
        <v>VALUES('08801630','IpdClaim.aspx', 'USER', '01', '08', 'ABDUL', SYSDATE, '10.6.100.63');</v>
      </c>
      <c r="AK5" s="12" t="str">
        <f t="shared" si="18"/>
        <v>INSERT INTO sy_perm_list (USER_CD, OPT_CD, ACCESS_TYPE, BRANCH_CODE, CLASS_CODE, ENT_BY, ENT_DATE, ENT_BY_IP)</v>
      </c>
      <c r="AL5" s="12" t="str">
        <f t="shared" si="19"/>
        <v>VALUES('08801630','OpdClaim.aspx', 'USER', '01', '08', 'ABDUL', SYSDATE, '10.6.100.63');</v>
      </c>
      <c r="AM5" s="12" t="str">
        <f t="shared" si="20"/>
        <v>INSERT INTO sy_perm_list (USER_CD, OPT_CD, ACCESS_TYPE, BRANCH_CODE, CLASS_CODE, ENT_BY, ENT_DATE, ENT_BY_IP)</v>
      </c>
      <c r="AN5" s="12" t="str">
        <f t="shared" si="21"/>
        <v>VALUES('08801630','RequestDetails.aspx', 'USER', '01', '08', 'ABDUL', SYSDATE, '10.6.100.63');</v>
      </c>
      <c r="AO5" s="12" t="str">
        <f t="shared" si="22"/>
        <v>INSERT INTO sy_perm_list (USER_CD, OPT_CD, ACCESS_TYPE, BRANCH_CODE, CLASS_CODE, ENT_BY, ENT_DATE, ENT_BY_IP)</v>
      </c>
      <c r="AP5" s="12" t="str">
        <f t="shared" si="23"/>
        <v>VALUES('08801630','TodaysRequest.aspx', 'USER', '01', '08', 'ABDUL', SYSDATE, '10.6.100.63');</v>
      </c>
    </row>
    <row r="6" spans="1:42" s="6" customFormat="1" ht="76.5" x14ac:dyDescent="0.2">
      <c r="A6" s="4">
        <v>5</v>
      </c>
      <c r="B6" s="5" t="s">
        <v>663</v>
      </c>
      <c r="C6" s="5">
        <v>9000218</v>
      </c>
      <c r="D6" s="6" t="s">
        <v>310</v>
      </c>
      <c r="E6" s="6" t="s">
        <v>299</v>
      </c>
      <c r="F6" s="5" t="s">
        <v>287</v>
      </c>
      <c r="G6" s="6" t="s">
        <v>288</v>
      </c>
      <c r="H6" s="5" t="s">
        <v>649</v>
      </c>
      <c r="I6" s="5">
        <v>547</v>
      </c>
      <c r="J6" s="5" t="s">
        <v>265</v>
      </c>
      <c r="K6" s="6" t="s">
        <v>153</v>
      </c>
      <c r="L6" s="6" t="s">
        <v>151</v>
      </c>
      <c r="M6" s="6" t="s">
        <v>152</v>
      </c>
      <c r="N6" s="7">
        <v>44012</v>
      </c>
      <c r="O6" s="7">
        <v>43992</v>
      </c>
      <c r="P6" s="7">
        <v>44356</v>
      </c>
      <c r="Q6" s="8">
        <v>6</v>
      </c>
      <c r="R6" s="8">
        <v>26</v>
      </c>
      <c r="S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" s="12" t="str">
        <f t="shared" si="1"/>
        <v>VALUES('08801363','ACSYS LIMITED','Salaam@123','Y','N',sysdate,'016', 'C', 'Client', 'ambreen.ellam@access.net.pk ','01','B', '08', 'ABDUL', sysdate, '10.6.100.63', '08801363');</v>
      </c>
      <c r="U6" s="12" t="str">
        <f t="shared" si="2"/>
        <v>INSERT INTO sy_user_branches (USER_CD, BRANCH_CODE, CLASS_CODE, ENT_BY, ENT_DATE, ENT_BY_IP)</v>
      </c>
      <c r="V6" s="12" t="str">
        <f t="shared" si="3"/>
        <v>values('08801363','01', '08', 'ABDUL', sysdate, '10.6.100.63');</v>
      </c>
      <c r="W6" s="12" t="str">
        <f t="shared" si="4"/>
        <v>INSERT INTO sy_perm_list (USER_CD, OPT_CD, ACCESS_TYPE, BRANCH_CODE, CLASS_CODE, ENT_BY, ENT_DATE, ENT_BY_IP)</v>
      </c>
      <c r="X6" s="12" t="str">
        <f t="shared" si="5"/>
        <v>VALUES('08801363','ClaimComments.aspx', 'USER', '01', '08', 'ABDUL', SYSDATE, '10.6.100.63');</v>
      </c>
      <c r="Y6" s="12" t="str">
        <f t="shared" si="6"/>
        <v>INSERT INTO sy_perm_list (USER_CD, OPT_CD, ACCESS_TYPE, BRANCH_CODE, CLASS_CODE, ENT_BY, ENT_DATE, ENT_BY_IP)</v>
      </c>
      <c r="Z6" s="12" t="str">
        <f t="shared" si="7"/>
        <v>VALUES('08801363','ClaimDocs.aspx', 'USER', '01', '08', 'ABDUL', SYSDATE, '10.6.100.63');</v>
      </c>
      <c r="AA6" s="12" t="str">
        <f t="shared" si="8"/>
        <v>INSERT INTO sy_perm_list (USER_CD, OPT_CD, ACCESS_TYPE, BRANCH_CODE, CLASS_CODE, ENT_BY, ENT_DATE, ENT_BY_IP)</v>
      </c>
      <c r="AB6" s="12" t="str">
        <f t="shared" si="9"/>
        <v>VALUES('08801363','Client.aspx', 'USER', '01', '08', 'ABDUL', SYSDATE, '10.6.100.63');</v>
      </c>
      <c r="AC6" s="12" t="str">
        <f t="shared" si="10"/>
        <v>INSERT INTO sy_perm_list (USER_CD, OPT_CD, ACCESS_TYPE, BRANCH_CODE, CLASS_CODE, ENT_BY, ENT_DATE, ENT_BY_IP)</v>
      </c>
      <c r="AD6" s="12" t="str">
        <f t="shared" si="11"/>
        <v>VALUES('08801363','ClientReports.aspx', 'USER', '01', '08', 'ABDUL', SYSDATE, '10.6.100.63');</v>
      </c>
      <c r="AE6" s="12" t="str">
        <f t="shared" si="12"/>
        <v>INSERT INTO sy_perm_list (USER_CD, OPT_CD, ACCESS_TYPE, BRANCH_CODE, CLASS_CODE, ENT_BY, ENT_DATE, ENT_BY_IP)</v>
      </c>
      <c r="AF6" s="12" t="str">
        <f t="shared" si="13"/>
        <v>VALUES('08801363','ClientRequests.aspx', 'USER', '01', '08', 'ABDUL', SYSDATE, '10.6.100.63');</v>
      </c>
      <c r="AG6" s="12" t="str">
        <f t="shared" si="14"/>
        <v>INSERT INTO sy_perm_list (USER_CD, OPT_CD, ACCESS_TYPE, BRANCH_CODE, CLASS_CODE, ENT_BY, ENT_DATE, ENT_BY_IP)</v>
      </c>
      <c r="AH6" s="12" t="str">
        <f t="shared" si="15"/>
        <v>VALUES('08801363','HealthLife.aspx', 'USER', '01', '08', 'ABDUL', SYSDATE, '10.6.100.63');</v>
      </c>
      <c r="AI6" s="12" t="str">
        <f t="shared" si="16"/>
        <v>INSERT INTO sy_perm_list (USER_CD, OPT_CD, ACCESS_TYPE, BRANCH_CODE, CLASS_CODE, ENT_BY, ENT_DATE, ENT_BY_IP)</v>
      </c>
      <c r="AJ6" s="12" t="str">
        <f t="shared" si="17"/>
        <v>VALUES('08801363','IpdClaim.aspx', 'USER', '01', '08', 'ABDUL', SYSDATE, '10.6.100.63');</v>
      </c>
      <c r="AK6" s="12" t="str">
        <f t="shared" si="18"/>
        <v>INSERT INTO sy_perm_list (USER_CD, OPT_CD, ACCESS_TYPE, BRANCH_CODE, CLASS_CODE, ENT_BY, ENT_DATE, ENT_BY_IP)</v>
      </c>
      <c r="AL6" s="12" t="str">
        <f t="shared" si="19"/>
        <v>VALUES('08801363','OpdClaim.aspx', 'USER', '01', '08', 'ABDUL', SYSDATE, '10.6.100.63');</v>
      </c>
      <c r="AM6" s="12" t="str">
        <f t="shared" si="20"/>
        <v>INSERT INTO sy_perm_list (USER_CD, OPT_CD, ACCESS_TYPE, BRANCH_CODE, CLASS_CODE, ENT_BY, ENT_DATE, ENT_BY_IP)</v>
      </c>
      <c r="AN6" s="12" t="str">
        <f t="shared" si="21"/>
        <v>VALUES('08801363','RequestDetails.aspx', 'USER', '01', '08', 'ABDUL', SYSDATE, '10.6.100.63');</v>
      </c>
      <c r="AO6" s="12" t="str">
        <f t="shared" si="22"/>
        <v>INSERT INTO sy_perm_list (USER_CD, OPT_CD, ACCESS_TYPE, BRANCH_CODE, CLASS_CODE, ENT_BY, ENT_DATE, ENT_BY_IP)</v>
      </c>
      <c r="AP6" s="12" t="str">
        <f t="shared" si="23"/>
        <v>VALUES('08801363','TodaysRequest.aspx', 'USER', '01', '08', 'ABDUL', SYSDATE, '10.6.100.63');</v>
      </c>
    </row>
    <row r="7" spans="1:42" s="6" customFormat="1" ht="76.5" x14ac:dyDescent="0.2">
      <c r="A7" s="4">
        <v>6</v>
      </c>
      <c r="B7" s="5" t="s">
        <v>664</v>
      </c>
      <c r="C7" s="5">
        <v>9000221</v>
      </c>
      <c r="D7" s="6" t="s">
        <v>285</v>
      </c>
      <c r="E7" s="6" t="s">
        <v>286</v>
      </c>
      <c r="F7" s="5" t="s">
        <v>287</v>
      </c>
      <c r="G7" s="6" t="s">
        <v>288</v>
      </c>
      <c r="H7" s="5" t="s">
        <v>650</v>
      </c>
      <c r="I7" s="5">
        <v>805</v>
      </c>
      <c r="J7" s="5" t="s">
        <v>529</v>
      </c>
      <c r="K7" s="6" t="s">
        <v>530</v>
      </c>
      <c r="L7" s="6" t="s">
        <v>562</v>
      </c>
      <c r="M7" s="6" t="s">
        <v>563</v>
      </c>
      <c r="N7" s="7">
        <v>44259</v>
      </c>
      <c r="O7" s="7">
        <v>44256</v>
      </c>
      <c r="P7" s="7">
        <v>44620</v>
      </c>
      <c r="Q7" s="8">
        <v>23</v>
      </c>
      <c r="R7" s="8">
        <v>36</v>
      </c>
      <c r="S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" s="12" t="str">
        <f t="shared" si="1"/>
        <v>VALUES('08801816','ADEX360 (PRIVATE) LIMITED','Salaam@123','Y','N',sysdate,'016', 'C', 'Client', 'sheharyar.ahmed@adex360.com','01','B', '08', 'ABDUL', sysdate, '10.6.100.63', '08801816');</v>
      </c>
      <c r="U7" s="12" t="str">
        <f t="shared" si="2"/>
        <v>INSERT INTO sy_user_branches (USER_CD, BRANCH_CODE, CLASS_CODE, ENT_BY, ENT_DATE, ENT_BY_IP)</v>
      </c>
      <c r="V7" s="12" t="str">
        <f t="shared" si="3"/>
        <v>values('08801816','01', '08', 'ABDUL', sysdate, '10.6.100.63');</v>
      </c>
      <c r="W7" s="12" t="str">
        <f t="shared" si="4"/>
        <v>INSERT INTO sy_perm_list (USER_CD, OPT_CD, ACCESS_TYPE, BRANCH_CODE, CLASS_CODE, ENT_BY, ENT_DATE, ENT_BY_IP)</v>
      </c>
      <c r="X7" s="12" t="str">
        <f t="shared" si="5"/>
        <v>VALUES('08801816','ClaimComments.aspx', 'USER', '01', '08', 'ABDUL', SYSDATE, '10.6.100.63');</v>
      </c>
      <c r="Y7" s="12" t="str">
        <f t="shared" si="6"/>
        <v>INSERT INTO sy_perm_list (USER_CD, OPT_CD, ACCESS_TYPE, BRANCH_CODE, CLASS_CODE, ENT_BY, ENT_DATE, ENT_BY_IP)</v>
      </c>
      <c r="Z7" s="12" t="str">
        <f t="shared" si="7"/>
        <v>VALUES('08801816','ClaimDocs.aspx', 'USER', '01', '08', 'ABDUL', SYSDATE, '10.6.100.63');</v>
      </c>
      <c r="AA7" s="12" t="str">
        <f t="shared" si="8"/>
        <v>INSERT INTO sy_perm_list (USER_CD, OPT_CD, ACCESS_TYPE, BRANCH_CODE, CLASS_CODE, ENT_BY, ENT_DATE, ENT_BY_IP)</v>
      </c>
      <c r="AB7" s="12" t="str">
        <f t="shared" si="9"/>
        <v>VALUES('08801816','Client.aspx', 'USER', '01', '08', 'ABDUL', SYSDATE, '10.6.100.63');</v>
      </c>
      <c r="AC7" s="12" t="str">
        <f t="shared" si="10"/>
        <v>INSERT INTO sy_perm_list (USER_CD, OPT_CD, ACCESS_TYPE, BRANCH_CODE, CLASS_CODE, ENT_BY, ENT_DATE, ENT_BY_IP)</v>
      </c>
      <c r="AD7" s="12" t="str">
        <f t="shared" si="11"/>
        <v>VALUES('08801816','ClientReports.aspx', 'USER', '01', '08', 'ABDUL', SYSDATE, '10.6.100.63');</v>
      </c>
      <c r="AE7" s="12" t="str">
        <f t="shared" si="12"/>
        <v>INSERT INTO sy_perm_list (USER_CD, OPT_CD, ACCESS_TYPE, BRANCH_CODE, CLASS_CODE, ENT_BY, ENT_DATE, ENT_BY_IP)</v>
      </c>
      <c r="AF7" s="12" t="str">
        <f t="shared" si="13"/>
        <v>VALUES('08801816','ClientRequests.aspx', 'USER', '01', '08', 'ABDUL', SYSDATE, '10.6.100.63');</v>
      </c>
      <c r="AG7" s="12" t="str">
        <f t="shared" si="14"/>
        <v>INSERT INTO sy_perm_list (USER_CD, OPT_CD, ACCESS_TYPE, BRANCH_CODE, CLASS_CODE, ENT_BY, ENT_DATE, ENT_BY_IP)</v>
      </c>
      <c r="AH7" s="12" t="str">
        <f t="shared" si="15"/>
        <v>VALUES('08801816','HealthLife.aspx', 'USER', '01', '08', 'ABDUL', SYSDATE, '10.6.100.63');</v>
      </c>
      <c r="AI7" s="12" t="str">
        <f t="shared" si="16"/>
        <v>INSERT INTO sy_perm_list (USER_CD, OPT_CD, ACCESS_TYPE, BRANCH_CODE, CLASS_CODE, ENT_BY, ENT_DATE, ENT_BY_IP)</v>
      </c>
      <c r="AJ7" s="12" t="str">
        <f t="shared" si="17"/>
        <v>VALUES('08801816','IpdClaim.aspx', 'USER', '01', '08', 'ABDUL', SYSDATE, '10.6.100.63');</v>
      </c>
      <c r="AK7" s="12" t="str">
        <f t="shared" si="18"/>
        <v>INSERT INTO sy_perm_list (USER_CD, OPT_CD, ACCESS_TYPE, BRANCH_CODE, CLASS_CODE, ENT_BY, ENT_DATE, ENT_BY_IP)</v>
      </c>
      <c r="AL7" s="12" t="str">
        <f t="shared" si="19"/>
        <v>VALUES('08801816','OpdClaim.aspx', 'USER', '01', '08', 'ABDUL', SYSDATE, '10.6.100.63');</v>
      </c>
      <c r="AM7" s="12" t="str">
        <f t="shared" si="20"/>
        <v>INSERT INTO sy_perm_list (USER_CD, OPT_CD, ACCESS_TYPE, BRANCH_CODE, CLASS_CODE, ENT_BY, ENT_DATE, ENT_BY_IP)</v>
      </c>
      <c r="AN7" s="12" t="str">
        <f t="shared" si="21"/>
        <v>VALUES('08801816','RequestDetails.aspx', 'USER', '01', '08', 'ABDUL', SYSDATE, '10.6.100.63');</v>
      </c>
      <c r="AO7" s="12" t="str">
        <f t="shared" si="22"/>
        <v>INSERT INTO sy_perm_list (USER_CD, OPT_CD, ACCESS_TYPE, BRANCH_CODE, CLASS_CODE, ENT_BY, ENT_DATE, ENT_BY_IP)</v>
      </c>
      <c r="AP7" s="12" t="str">
        <f t="shared" si="23"/>
        <v>VALUES('08801816','TodaysRequest.aspx', 'USER', '01', '08', 'ABDUL', SYSDATE, '10.6.100.63');</v>
      </c>
    </row>
    <row r="8" spans="1:42" s="6" customFormat="1" ht="76.5" x14ac:dyDescent="0.2">
      <c r="A8" s="4">
        <v>7</v>
      </c>
      <c r="B8" s="5" t="s">
        <v>665</v>
      </c>
      <c r="C8" s="5">
        <v>9000226</v>
      </c>
      <c r="D8" s="6" t="s">
        <v>374</v>
      </c>
      <c r="E8" s="6" t="s">
        <v>299</v>
      </c>
      <c r="F8" s="5" t="s">
        <v>287</v>
      </c>
      <c r="G8" s="6" t="s">
        <v>288</v>
      </c>
      <c r="H8" s="5" t="s">
        <v>649</v>
      </c>
      <c r="I8" s="5">
        <v>638</v>
      </c>
      <c r="J8" s="5" t="s">
        <v>266</v>
      </c>
      <c r="K8" s="6" t="s">
        <v>375</v>
      </c>
      <c r="L8" s="6" t="s">
        <v>219</v>
      </c>
      <c r="M8" s="6" t="s">
        <v>220</v>
      </c>
      <c r="N8" s="7">
        <v>44110</v>
      </c>
      <c r="O8" s="7">
        <v>44105</v>
      </c>
      <c r="P8" s="7">
        <v>44469</v>
      </c>
      <c r="Q8" s="8">
        <v>227</v>
      </c>
      <c r="R8" s="8">
        <v>432</v>
      </c>
      <c r="S8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" s="12" t="str">
        <f t="shared" si="1"/>
        <v>VALUES('08004290','AFROZE TEXTILE INDUSTRIES (PVT) LTD','Salaam@123','Y','N',sysdate,'016', 'C', 'Client', 'hr5@afroze.com','01','B', '08', 'ABDUL', sysdate, '10.6.100.63', '08004290');</v>
      </c>
      <c r="U8" s="12" t="str">
        <f t="shared" si="2"/>
        <v>INSERT INTO sy_user_branches (USER_CD, BRANCH_CODE, CLASS_CODE, ENT_BY, ENT_DATE, ENT_BY_IP)</v>
      </c>
      <c r="V8" s="12" t="str">
        <f t="shared" si="3"/>
        <v>values('08004290','01', '08', 'ABDUL', sysdate, '10.6.100.63');</v>
      </c>
      <c r="W8" s="12" t="str">
        <f t="shared" si="4"/>
        <v>INSERT INTO sy_perm_list (USER_CD, OPT_CD, ACCESS_TYPE, BRANCH_CODE, CLASS_CODE, ENT_BY, ENT_DATE, ENT_BY_IP)</v>
      </c>
      <c r="X8" s="12" t="str">
        <f t="shared" si="5"/>
        <v>VALUES('08004290','ClaimComments.aspx', 'USER', '01', '08', 'ABDUL', SYSDATE, '10.6.100.63');</v>
      </c>
      <c r="Y8" s="12" t="str">
        <f t="shared" si="6"/>
        <v>INSERT INTO sy_perm_list (USER_CD, OPT_CD, ACCESS_TYPE, BRANCH_CODE, CLASS_CODE, ENT_BY, ENT_DATE, ENT_BY_IP)</v>
      </c>
      <c r="Z8" s="12" t="str">
        <f t="shared" si="7"/>
        <v>VALUES('08004290','ClaimDocs.aspx', 'USER', '01', '08', 'ABDUL', SYSDATE, '10.6.100.63');</v>
      </c>
      <c r="AA8" s="12" t="str">
        <f t="shared" si="8"/>
        <v>INSERT INTO sy_perm_list (USER_CD, OPT_CD, ACCESS_TYPE, BRANCH_CODE, CLASS_CODE, ENT_BY, ENT_DATE, ENT_BY_IP)</v>
      </c>
      <c r="AB8" s="12" t="str">
        <f t="shared" si="9"/>
        <v>VALUES('08004290','Client.aspx', 'USER', '01', '08', 'ABDUL', SYSDATE, '10.6.100.63');</v>
      </c>
      <c r="AC8" s="12" t="str">
        <f t="shared" si="10"/>
        <v>INSERT INTO sy_perm_list (USER_CD, OPT_CD, ACCESS_TYPE, BRANCH_CODE, CLASS_CODE, ENT_BY, ENT_DATE, ENT_BY_IP)</v>
      </c>
      <c r="AD8" s="12" t="str">
        <f t="shared" si="11"/>
        <v>VALUES('08004290','ClientReports.aspx', 'USER', '01', '08', 'ABDUL', SYSDATE, '10.6.100.63');</v>
      </c>
      <c r="AE8" s="12" t="str">
        <f t="shared" si="12"/>
        <v>INSERT INTO sy_perm_list (USER_CD, OPT_CD, ACCESS_TYPE, BRANCH_CODE, CLASS_CODE, ENT_BY, ENT_DATE, ENT_BY_IP)</v>
      </c>
      <c r="AF8" s="12" t="str">
        <f t="shared" si="13"/>
        <v>VALUES('08004290','ClientRequests.aspx', 'USER', '01', '08', 'ABDUL', SYSDATE, '10.6.100.63');</v>
      </c>
      <c r="AG8" s="12" t="str">
        <f t="shared" si="14"/>
        <v>INSERT INTO sy_perm_list (USER_CD, OPT_CD, ACCESS_TYPE, BRANCH_CODE, CLASS_CODE, ENT_BY, ENT_DATE, ENT_BY_IP)</v>
      </c>
      <c r="AH8" s="12" t="str">
        <f t="shared" si="15"/>
        <v>VALUES('08004290','HealthLife.aspx', 'USER', '01', '08', 'ABDUL', SYSDATE, '10.6.100.63');</v>
      </c>
      <c r="AI8" s="12" t="str">
        <f t="shared" si="16"/>
        <v>INSERT INTO sy_perm_list (USER_CD, OPT_CD, ACCESS_TYPE, BRANCH_CODE, CLASS_CODE, ENT_BY, ENT_DATE, ENT_BY_IP)</v>
      </c>
      <c r="AJ8" s="12" t="str">
        <f t="shared" si="17"/>
        <v>VALUES('08004290','IpdClaim.aspx', 'USER', '01', '08', 'ABDUL', SYSDATE, '10.6.100.63');</v>
      </c>
      <c r="AK8" s="12" t="str">
        <f t="shared" si="18"/>
        <v>INSERT INTO sy_perm_list (USER_CD, OPT_CD, ACCESS_TYPE, BRANCH_CODE, CLASS_CODE, ENT_BY, ENT_DATE, ENT_BY_IP)</v>
      </c>
      <c r="AL8" s="12" t="str">
        <f t="shared" si="19"/>
        <v>VALUES('08004290','OpdClaim.aspx', 'USER', '01', '08', 'ABDUL', SYSDATE, '10.6.100.63');</v>
      </c>
      <c r="AM8" s="12" t="str">
        <f t="shared" si="20"/>
        <v>INSERT INTO sy_perm_list (USER_CD, OPT_CD, ACCESS_TYPE, BRANCH_CODE, CLASS_CODE, ENT_BY, ENT_DATE, ENT_BY_IP)</v>
      </c>
      <c r="AN8" s="12" t="str">
        <f t="shared" si="21"/>
        <v>VALUES('08004290','RequestDetails.aspx', 'USER', '01', '08', 'ABDUL', SYSDATE, '10.6.100.63');</v>
      </c>
      <c r="AO8" s="12" t="str">
        <f t="shared" si="22"/>
        <v>INSERT INTO sy_perm_list (USER_CD, OPT_CD, ACCESS_TYPE, BRANCH_CODE, CLASS_CODE, ENT_BY, ENT_DATE, ENT_BY_IP)</v>
      </c>
      <c r="AP8" s="12" t="str">
        <f t="shared" si="23"/>
        <v>VALUES('08004290','TodaysRequest.aspx', 'USER', '01', '08', 'ABDUL', SYSDATE, '10.6.100.63');</v>
      </c>
    </row>
    <row r="9" spans="1:42" s="6" customFormat="1" ht="76.5" x14ac:dyDescent="0.2">
      <c r="A9" s="4">
        <v>8</v>
      </c>
      <c r="B9" s="5" t="s">
        <v>666</v>
      </c>
      <c r="C9" s="5">
        <v>9000241</v>
      </c>
      <c r="D9" s="6" t="s">
        <v>296</v>
      </c>
      <c r="E9" s="6" t="s">
        <v>290</v>
      </c>
      <c r="F9" s="5" t="s">
        <v>287</v>
      </c>
      <c r="G9" s="6" t="s">
        <v>288</v>
      </c>
      <c r="H9" s="5" t="s">
        <v>649</v>
      </c>
      <c r="I9" s="5">
        <v>752</v>
      </c>
      <c r="J9" s="5" t="s">
        <v>267</v>
      </c>
      <c r="K9" s="6" t="s">
        <v>44</v>
      </c>
      <c r="L9" s="6" t="s">
        <v>122</v>
      </c>
      <c r="M9" s="6" t="s">
        <v>123</v>
      </c>
      <c r="N9" s="7">
        <v>44229</v>
      </c>
      <c r="O9" s="7">
        <v>44228</v>
      </c>
      <c r="P9" s="7">
        <v>44592</v>
      </c>
      <c r="Q9" s="8">
        <v>33</v>
      </c>
      <c r="R9" s="8">
        <v>37</v>
      </c>
      <c r="S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9" s="12" t="str">
        <f t="shared" si="1"/>
        <v>VALUES('08801203','AIV (PVT.) LIMITED','Salaam@123','Y','N',sysdate,'016', 'C', 'Client', 'kamransuleman@aivpak.com','01','B', '08', 'ABDUL', sysdate, '10.6.100.63', '08801203');</v>
      </c>
      <c r="U9" s="12" t="str">
        <f t="shared" si="2"/>
        <v>INSERT INTO sy_user_branches (USER_CD, BRANCH_CODE, CLASS_CODE, ENT_BY, ENT_DATE, ENT_BY_IP)</v>
      </c>
      <c r="V9" s="12" t="str">
        <f t="shared" si="3"/>
        <v>values('08801203','01', '08', 'ABDUL', sysdate, '10.6.100.63');</v>
      </c>
      <c r="W9" s="12" t="str">
        <f t="shared" si="4"/>
        <v>INSERT INTO sy_perm_list (USER_CD, OPT_CD, ACCESS_TYPE, BRANCH_CODE, CLASS_CODE, ENT_BY, ENT_DATE, ENT_BY_IP)</v>
      </c>
      <c r="X9" s="12" t="str">
        <f t="shared" si="5"/>
        <v>VALUES('08801203','ClaimComments.aspx', 'USER', '01', '08', 'ABDUL', SYSDATE, '10.6.100.63');</v>
      </c>
      <c r="Y9" s="12" t="str">
        <f t="shared" si="6"/>
        <v>INSERT INTO sy_perm_list (USER_CD, OPT_CD, ACCESS_TYPE, BRANCH_CODE, CLASS_CODE, ENT_BY, ENT_DATE, ENT_BY_IP)</v>
      </c>
      <c r="Z9" s="12" t="str">
        <f t="shared" si="7"/>
        <v>VALUES('08801203','ClaimDocs.aspx', 'USER', '01', '08', 'ABDUL', SYSDATE, '10.6.100.63');</v>
      </c>
      <c r="AA9" s="12" t="str">
        <f t="shared" si="8"/>
        <v>INSERT INTO sy_perm_list (USER_CD, OPT_CD, ACCESS_TYPE, BRANCH_CODE, CLASS_CODE, ENT_BY, ENT_DATE, ENT_BY_IP)</v>
      </c>
      <c r="AB9" s="12" t="str">
        <f t="shared" si="9"/>
        <v>VALUES('08801203','Client.aspx', 'USER', '01', '08', 'ABDUL', SYSDATE, '10.6.100.63');</v>
      </c>
      <c r="AC9" s="12" t="str">
        <f t="shared" si="10"/>
        <v>INSERT INTO sy_perm_list (USER_CD, OPT_CD, ACCESS_TYPE, BRANCH_CODE, CLASS_CODE, ENT_BY, ENT_DATE, ENT_BY_IP)</v>
      </c>
      <c r="AD9" s="12" t="str">
        <f t="shared" si="11"/>
        <v>VALUES('08801203','ClientReports.aspx', 'USER', '01', '08', 'ABDUL', SYSDATE, '10.6.100.63');</v>
      </c>
      <c r="AE9" s="12" t="str">
        <f t="shared" si="12"/>
        <v>INSERT INTO sy_perm_list (USER_CD, OPT_CD, ACCESS_TYPE, BRANCH_CODE, CLASS_CODE, ENT_BY, ENT_DATE, ENT_BY_IP)</v>
      </c>
      <c r="AF9" s="12" t="str">
        <f t="shared" si="13"/>
        <v>VALUES('08801203','ClientRequests.aspx', 'USER', '01', '08', 'ABDUL', SYSDATE, '10.6.100.63');</v>
      </c>
      <c r="AG9" s="12" t="str">
        <f t="shared" si="14"/>
        <v>INSERT INTO sy_perm_list (USER_CD, OPT_CD, ACCESS_TYPE, BRANCH_CODE, CLASS_CODE, ENT_BY, ENT_DATE, ENT_BY_IP)</v>
      </c>
      <c r="AH9" s="12" t="str">
        <f t="shared" si="15"/>
        <v>VALUES('08801203','HealthLife.aspx', 'USER', '01', '08', 'ABDUL', SYSDATE, '10.6.100.63');</v>
      </c>
      <c r="AI9" s="12" t="str">
        <f t="shared" si="16"/>
        <v>INSERT INTO sy_perm_list (USER_CD, OPT_CD, ACCESS_TYPE, BRANCH_CODE, CLASS_CODE, ENT_BY, ENT_DATE, ENT_BY_IP)</v>
      </c>
      <c r="AJ9" s="12" t="str">
        <f t="shared" si="17"/>
        <v>VALUES('08801203','IpdClaim.aspx', 'USER', '01', '08', 'ABDUL', SYSDATE, '10.6.100.63');</v>
      </c>
      <c r="AK9" s="12" t="str">
        <f t="shared" si="18"/>
        <v>INSERT INTO sy_perm_list (USER_CD, OPT_CD, ACCESS_TYPE, BRANCH_CODE, CLASS_CODE, ENT_BY, ENT_DATE, ENT_BY_IP)</v>
      </c>
      <c r="AL9" s="12" t="str">
        <f t="shared" si="19"/>
        <v>VALUES('08801203','OpdClaim.aspx', 'USER', '01', '08', 'ABDUL', SYSDATE, '10.6.100.63');</v>
      </c>
      <c r="AM9" s="12" t="str">
        <f t="shared" si="20"/>
        <v>INSERT INTO sy_perm_list (USER_CD, OPT_CD, ACCESS_TYPE, BRANCH_CODE, CLASS_CODE, ENT_BY, ENT_DATE, ENT_BY_IP)</v>
      </c>
      <c r="AN9" s="12" t="str">
        <f t="shared" si="21"/>
        <v>VALUES('08801203','RequestDetails.aspx', 'USER', '01', '08', 'ABDUL', SYSDATE, '10.6.100.63');</v>
      </c>
      <c r="AO9" s="12" t="str">
        <f t="shared" si="22"/>
        <v>INSERT INTO sy_perm_list (USER_CD, OPT_CD, ACCESS_TYPE, BRANCH_CODE, CLASS_CODE, ENT_BY, ENT_DATE, ENT_BY_IP)</v>
      </c>
      <c r="AP9" s="12" t="str">
        <f t="shared" si="23"/>
        <v>VALUES('08801203','TodaysRequest.aspx', 'USER', '01', '08', 'ABDUL', SYSDATE, '10.6.100.63');</v>
      </c>
    </row>
    <row r="10" spans="1:42" s="6" customFormat="1" ht="76.5" x14ac:dyDescent="0.2">
      <c r="A10" s="4">
        <v>9</v>
      </c>
      <c r="B10" s="5" t="s">
        <v>667</v>
      </c>
      <c r="C10" s="5">
        <v>9000218</v>
      </c>
      <c r="D10" s="6" t="s">
        <v>310</v>
      </c>
      <c r="E10" s="6" t="s">
        <v>299</v>
      </c>
      <c r="F10" s="5" t="s">
        <v>287</v>
      </c>
      <c r="G10" s="6" t="s">
        <v>288</v>
      </c>
      <c r="H10" s="5" t="s">
        <v>649</v>
      </c>
      <c r="I10" s="5">
        <v>718</v>
      </c>
      <c r="J10" s="5" t="s">
        <v>435</v>
      </c>
      <c r="K10" s="6" t="s">
        <v>8</v>
      </c>
      <c r="L10" s="6" t="s">
        <v>135</v>
      </c>
      <c r="M10" s="6" t="s">
        <v>814</v>
      </c>
      <c r="N10" s="7">
        <v>44196</v>
      </c>
      <c r="O10" s="7">
        <v>44196</v>
      </c>
      <c r="P10" s="7">
        <v>44561</v>
      </c>
      <c r="Q10" s="8">
        <v>1759</v>
      </c>
      <c r="R10" s="8">
        <v>4951</v>
      </c>
      <c r="S1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0" s="12" t="str">
        <f t="shared" si="1"/>
        <v>VALUES('08004499','AL BARAKA BANK (PAKISTAN) LIMITED','Salaam@123','Y','N',sysdate,'016', 'C', 'Client', 'Naseer.khan@albaraka.com.pk','01','B', '08', 'ABDUL', sysdate, '10.6.100.63', '08004499');</v>
      </c>
      <c r="U10" s="12" t="str">
        <f t="shared" si="2"/>
        <v>INSERT INTO sy_user_branches (USER_CD, BRANCH_CODE, CLASS_CODE, ENT_BY, ENT_DATE, ENT_BY_IP)</v>
      </c>
      <c r="V10" s="12" t="str">
        <f t="shared" si="3"/>
        <v>values('08004499','01', '08', 'ABDUL', sysdate, '10.6.100.63');</v>
      </c>
      <c r="W10" s="12" t="str">
        <f t="shared" si="4"/>
        <v>INSERT INTO sy_perm_list (USER_CD, OPT_CD, ACCESS_TYPE, BRANCH_CODE, CLASS_CODE, ENT_BY, ENT_DATE, ENT_BY_IP)</v>
      </c>
      <c r="X10" s="12" t="str">
        <f t="shared" si="5"/>
        <v>VALUES('08004499','ClaimComments.aspx', 'USER', '01', '08', 'ABDUL', SYSDATE, '10.6.100.63');</v>
      </c>
      <c r="Y10" s="12" t="str">
        <f t="shared" si="6"/>
        <v>INSERT INTO sy_perm_list (USER_CD, OPT_CD, ACCESS_TYPE, BRANCH_CODE, CLASS_CODE, ENT_BY, ENT_DATE, ENT_BY_IP)</v>
      </c>
      <c r="Z10" s="12" t="str">
        <f t="shared" si="7"/>
        <v>VALUES('08004499','ClaimDocs.aspx', 'USER', '01', '08', 'ABDUL', SYSDATE, '10.6.100.63');</v>
      </c>
      <c r="AA10" s="12" t="str">
        <f t="shared" si="8"/>
        <v>INSERT INTO sy_perm_list (USER_CD, OPT_CD, ACCESS_TYPE, BRANCH_CODE, CLASS_CODE, ENT_BY, ENT_DATE, ENT_BY_IP)</v>
      </c>
      <c r="AB10" s="12" t="str">
        <f t="shared" si="9"/>
        <v>VALUES('08004499','Client.aspx', 'USER', '01', '08', 'ABDUL', SYSDATE, '10.6.100.63');</v>
      </c>
      <c r="AC10" s="12" t="str">
        <f t="shared" si="10"/>
        <v>INSERT INTO sy_perm_list (USER_CD, OPT_CD, ACCESS_TYPE, BRANCH_CODE, CLASS_CODE, ENT_BY, ENT_DATE, ENT_BY_IP)</v>
      </c>
      <c r="AD10" s="12" t="str">
        <f t="shared" si="11"/>
        <v>VALUES('08004499','ClientReports.aspx', 'USER', '01', '08', 'ABDUL', SYSDATE, '10.6.100.63');</v>
      </c>
      <c r="AE10" s="12" t="str">
        <f t="shared" si="12"/>
        <v>INSERT INTO sy_perm_list (USER_CD, OPT_CD, ACCESS_TYPE, BRANCH_CODE, CLASS_CODE, ENT_BY, ENT_DATE, ENT_BY_IP)</v>
      </c>
      <c r="AF10" s="12" t="str">
        <f t="shared" si="13"/>
        <v>VALUES('08004499','ClientRequests.aspx', 'USER', '01', '08', 'ABDUL', SYSDATE, '10.6.100.63');</v>
      </c>
      <c r="AG10" s="12" t="str">
        <f t="shared" si="14"/>
        <v>INSERT INTO sy_perm_list (USER_CD, OPT_CD, ACCESS_TYPE, BRANCH_CODE, CLASS_CODE, ENT_BY, ENT_DATE, ENT_BY_IP)</v>
      </c>
      <c r="AH10" s="12" t="str">
        <f t="shared" si="15"/>
        <v>VALUES('08004499','HealthLife.aspx', 'USER', '01', '08', 'ABDUL', SYSDATE, '10.6.100.63');</v>
      </c>
      <c r="AI10" s="12" t="str">
        <f t="shared" si="16"/>
        <v>INSERT INTO sy_perm_list (USER_CD, OPT_CD, ACCESS_TYPE, BRANCH_CODE, CLASS_CODE, ENT_BY, ENT_DATE, ENT_BY_IP)</v>
      </c>
      <c r="AJ10" s="12" t="str">
        <f t="shared" si="17"/>
        <v>VALUES('08004499','IpdClaim.aspx', 'USER', '01', '08', 'ABDUL', SYSDATE, '10.6.100.63');</v>
      </c>
      <c r="AK10" s="12" t="str">
        <f t="shared" si="18"/>
        <v>INSERT INTO sy_perm_list (USER_CD, OPT_CD, ACCESS_TYPE, BRANCH_CODE, CLASS_CODE, ENT_BY, ENT_DATE, ENT_BY_IP)</v>
      </c>
      <c r="AL10" s="12" t="str">
        <f t="shared" si="19"/>
        <v>VALUES('08004499','OpdClaim.aspx', 'USER', '01', '08', 'ABDUL', SYSDATE, '10.6.100.63');</v>
      </c>
      <c r="AM10" s="12" t="str">
        <f t="shared" si="20"/>
        <v>INSERT INTO sy_perm_list (USER_CD, OPT_CD, ACCESS_TYPE, BRANCH_CODE, CLASS_CODE, ENT_BY, ENT_DATE, ENT_BY_IP)</v>
      </c>
      <c r="AN10" s="12" t="str">
        <f t="shared" si="21"/>
        <v>VALUES('08004499','RequestDetails.aspx', 'USER', '01', '08', 'ABDUL', SYSDATE, '10.6.100.63');</v>
      </c>
      <c r="AO10" s="12" t="str">
        <f t="shared" si="22"/>
        <v>INSERT INTO sy_perm_list (USER_CD, OPT_CD, ACCESS_TYPE, BRANCH_CODE, CLASS_CODE, ENT_BY, ENT_DATE, ENT_BY_IP)</v>
      </c>
      <c r="AP10" s="12" t="str">
        <f t="shared" si="23"/>
        <v>VALUES('08004499','TodaysRequest.aspx', 'USER', '01', '08', 'ABDUL', SYSDATE, '10.6.100.63');</v>
      </c>
    </row>
    <row r="11" spans="1:42" s="6" customFormat="1" ht="76.5" x14ac:dyDescent="0.2">
      <c r="A11" s="4">
        <v>10</v>
      </c>
      <c r="B11" s="5" t="s">
        <v>668</v>
      </c>
      <c r="C11" s="5">
        <v>9000289</v>
      </c>
      <c r="D11" s="6" t="s">
        <v>387</v>
      </c>
      <c r="E11" s="6" t="s">
        <v>290</v>
      </c>
      <c r="F11" s="5" t="s">
        <v>287</v>
      </c>
      <c r="G11" s="6" t="s">
        <v>288</v>
      </c>
      <c r="H11" s="5" t="s">
        <v>649</v>
      </c>
      <c r="I11" s="5">
        <v>728</v>
      </c>
      <c r="J11" s="5" t="s">
        <v>441</v>
      </c>
      <c r="K11" s="6" t="s">
        <v>82</v>
      </c>
      <c r="L11" s="6" t="s">
        <v>115</v>
      </c>
      <c r="M11" s="6" t="s">
        <v>117</v>
      </c>
      <c r="N11" s="7">
        <v>44202</v>
      </c>
      <c r="O11" s="7">
        <v>44197</v>
      </c>
      <c r="P11" s="7">
        <v>44561</v>
      </c>
      <c r="Q11" s="8">
        <v>12</v>
      </c>
      <c r="R11" s="8">
        <v>26</v>
      </c>
      <c r="S11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1" s="12" t="str">
        <f t="shared" si="1"/>
        <v>VALUES('08801698','AL HILAL SHARIAH ADVISORS (PVT.) LIMITED','Salaam@123','Y','N',sysdate,'016', 'C', 'Client', 'wahid.lakhani@alhilalsa.com','01','B', '08', 'ABDUL', sysdate, '10.6.100.63', '08801698');</v>
      </c>
      <c r="U11" s="12" t="str">
        <f t="shared" si="2"/>
        <v>INSERT INTO sy_user_branches (USER_CD, BRANCH_CODE, CLASS_CODE, ENT_BY, ENT_DATE, ENT_BY_IP)</v>
      </c>
      <c r="V11" s="12" t="str">
        <f t="shared" si="3"/>
        <v>values('08801698','01', '08', 'ABDUL', sysdate, '10.6.100.63');</v>
      </c>
      <c r="W11" s="12" t="str">
        <f t="shared" si="4"/>
        <v>INSERT INTO sy_perm_list (USER_CD, OPT_CD, ACCESS_TYPE, BRANCH_CODE, CLASS_CODE, ENT_BY, ENT_DATE, ENT_BY_IP)</v>
      </c>
      <c r="X11" s="12" t="str">
        <f t="shared" si="5"/>
        <v>VALUES('08801698','ClaimComments.aspx', 'USER', '01', '08', 'ABDUL', SYSDATE, '10.6.100.63');</v>
      </c>
      <c r="Y11" s="12" t="str">
        <f t="shared" si="6"/>
        <v>INSERT INTO sy_perm_list (USER_CD, OPT_CD, ACCESS_TYPE, BRANCH_CODE, CLASS_CODE, ENT_BY, ENT_DATE, ENT_BY_IP)</v>
      </c>
      <c r="Z11" s="12" t="str">
        <f t="shared" si="7"/>
        <v>VALUES('08801698','ClaimDocs.aspx', 'USER', '01', '08', 'ABDUL', SYSDATE, '10.6.100.63');</v>
      </c>
      <c r="AA11" s="12" t="str">
        <f t="shared" si="8"/>
        <v>INSERT INTO sy_perm_list (USER_CD, OPT_CD, ACCESS_TYPE, BRANCH_CODE, CLASS_CODE, ENT_BY, ENT_DATE, ENT_BY_IP)</v>
      </c>
      <c r="AB11" s="12" t="str">
        <f t="shared" si="9"/>
        <v>VALUES('08801698','Client.aspx', 'USER', '01', '08', 'ABDUL', SYSDATE, '10.6.100.63');</v>
      </c>
      <c r="AC11" s="12" t="str">
        <f t="shared" si="10"/>
        <v>INSERT INTO sy_perm_list (USER_CD, OPT_CD, ACCESS_TYPE, BRANCH_CODE, CLASS_CODE, ENT_BY, ENT_DATE, ENT_BY_IP)</v>
      </c>
      <c r="AD11" s="12" t="str">
        <f t="shared" si="11"/>
        <v>VALUES('08801698','ClientReports.aspx', 'USER', '01', '08', 'ABDUL', SYSDATE, '10.6.100.63');</v>
      </c>
      <c r="AE11" s="12" t="str">
        <f t="shared" si="12"/>
        <v>INSERT INTO sy_perm_list (USER_CD, OPT_CD, ACCESS_TYPE, BRANCH_CODE, CLASS_CODE, ENT_BY, ENT_DATE, ENT_BY_IP)</v>
      </c>
      <c r="AF11" s="12" t="str">
        <f t="shared" si="13"/>
        <v>VALUES('08801698','ClientRequests.aspx', 'USER', '01', '08', 'ABDUL', SYSDATE, '10.6.100.63');</v>
      </c>
      <c r="AG11" s="12" t="str">
        <f t="shared" si="14"/>
        <v>INSERT INTO sy_perm_list (USER_CD, OPT_CD, ACCESS_TYPE, BRANCH_CODE, CLASS_CODE, ENT_BY, ENT_DATE, ENT_BY_IP)</v>
      </c>
      <c r="AH11" s="12" t="str">
        <f t="shared" si="15"/>
        <v>VALUES('08801698','HealthLife.aspx', 'USER', '01', '08', 'ABDUL', SYSDATE, '10.6.100.63');</v>
      </c>
      <c r="AI11" s="12" t="str">
        <f t="shared" si="16"/>
        <v>INSERT INTO sy_perm_list (USER_CD, OPT_CD, ACCESS_TYPE, BRANCH_CODE, CLASS_CODE, ENT_BY, ENT_DATE, ENT_BY_IP)</v>
      </c>
      <c r="AJ11" s="12" t="str">
        <f t="shared" si="17"/>
        <v>VALUES('08801698','IpdClaim.aspx', 'USER', '01', '08', 'ABDUL', SYSDATE, '10.6.100.63');</v>
      </c>
      <c r="AK11" s="12" t="str">
        <f t="shared" si="18"/>
        <v>INSERT INTO sy_perm_list (USER_CD, OPT_CD, ACCESS_TYPE, BRANCH_CODE, CLASS_CODE, ENT_BY, ENT_DATE, ENT_BY_IP)</v>
      </c>
      <c r="AL11" s="12" t="str">
        <f t="shared" si="19"/>
        <v>VALUES('08801698','OpdClaim.aspx', 'USER', '01', '08', 'ABDUL', SYSDATE, '10.6.100.63');</v>
      </c>
      <c r="AM11" s="12" t="str">
        <f t="shared" si="20"/>
        <v>INSERT INTO sy_perm_list (USER_CD, OPT_CD, ACCESS_TYPE, BRANCH_CODE, CLASS_CODE, ENT_BY, ENT_DATE, ENT_BY_IP)</v>
      </c>
      <c r="AN11" s="12" t="str">
        <f t="shared" si="21"/>
        <v>VALUES('08801698','RequestDetails.aspx', 'USER', '01', '08', 'ABDUL', SYSDATE, '10.6.100.63');</v>
      </c>
      <c r="AO11" s="12" t="str">
        <f t="shared" si="22"/>
        <v>INSERT INTO sy_perm_list (USER_CD, OPT_CD, ACCESS_TYPE, BRANCH_CODE, CLASS_CODE, ENT_BY, ENT_DATE, ENT_BY_IP)</v>
      </c>
      <c r="AP11" s="12" t="str">
        <f t="shared" si="23"/>
        <v>VALUES('08801698','TodaysRequest.aspx', 'USER', '01', '08', 'ABDUL', SYSDATE, '10.6.100.63');</v>
      </c>
    </row>
    <row r="12" spans="1:42" s="6" customFormat="1" ht="15.75" thickBot="1" x14ac:dyDescent="0.25">
      <c r="A12" s="4"/>
      <c r="B12" s="5" t="s">
        <v>668</v>
      </c>
      <c r="C12" s="5"/>
      <c r="F12" s="5"/>
      <c r="H12" s="5"/>
      <c r="I12" s="5">
        <v>1315</v>
      </c>
      <c r="J12" s="46" t="s">
        <v>1299</v>
      </c>
      <c r="K12" s="6" t="s">
        <v>82</v>
      </c>
      <c r="N12" s="7"/>
      <c r="O12" s="7"/>
      <c r="P12" s="7"/>
      <c r="Q12" s="8"/>
      <c r="R12" s="8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1:42" s="6" customFormat="1" ht="84" customHeight="1" thickBot="1" x14ac:dyDescent="0.25">
      <c r="A13" s="4">
        <v>11</v>
      </c>
      <c r="B13" s="5" t="s">
        <v>669</v>
      </c>
      <c r="C13" s="5">
        <v>9000218</v>
      </c>
      <c r="D13" s="6" t="s">
        <v>310</v>
      </c>
      <c r="E13" s="6" t="s">
        <v>299</v>
      </c>
      <c r="F13" s="5" t="s">
        <v>287</v>
      </c>
      <c r="G13" s="6" t="s">
        <v>288</v>
      </c>
      <c r="H13" s="5" t="s">
        <v>649</v>
      </c>
      <c r="I13" s="5">
        <v>720</v>
      </c>
      <c r="J13" s="5" t="s">
        <v>429</v>
      </c>
      <c r="K13" s="6" t="s">
        <v>23</v>
      </c>
      <c r="L13" s="6" t="s">
        <v>137</v>
      </c>
      <c r="M13" s="9" t="s">
        <v>815</v>
      </c>
      <c r="N13" s="7">
        <v>44196</v>
      </c>
      <c r="O13" s="7">
        <v>44166</v>
      </c>
      <c r="P13" s="7">
        <v>44530</v>
      </c>
      <c r="Q13" s="8">
        <v>91</v>
      </c>
      <c r="R13" s="8">
        <v>218</v>
      </c>
      <c r="S13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3" s="12" t="str">
        <f>"VALUES('"&amp;B13&amp;"','"&amp;K13&amp;"','Salaam@123','Y','N',sysdate,'016', 'C', 'Client', '"&amp;M13&amp;"','01','B', '08', 'ABDUL', sysdate, '10.6.100.63', '"&amp;B13&amp;"');"</f>
        <v>VALUES('08801451','AL RAHIM TEXTILE INDUSTRIES LIMITED','Salaam@123','Y','N',sysdate,'016', 'C', 'Client', 'areej.ahmed@zellbury.com','01','B', '08', 'ABDUL', sysdate, '10.6.100.63', '08801451');</v>
      </c>
      <c r="U13" s="12" t="str">
        <f t="shared" si="2"/>
        <v>INSERT INTO sy_user_branches (USER_CD, BRANCH_CODE, CLASS_CODE, ENT_BY, ENT_DATE, ENT_BY_IP)</v>
      </c>
      <c r="V13" s="12" t="str">
        <f t="shared" si="3"/>
        <v>values('08801451','01', '08', 'ABDUL', sysdate, '10.6.100.63');</v>
      </c>
      <c r="W13" s="12" t="str">
        <f t="shared" si="4"/>
        <v>INSERT INTO sy_perm_list (USER_CD, OPT_CD, ACCESS_TYPE, BRANCH_CODE, CLASS_CODE, ENT_BY, ENT_DATE, ENT_BY_IP)</v>
      </c>
      <c r="X13" s="12" t="str">
        <f t="shared" si="5"/>
        <v>VALUES('08801451','ClaimComments.aspx', 'USER', '01', '08', 'ABDUL', SYSDATE, '10.6.100.63');</v>
      </c>
      <c r="Y13" s="12" t="str">
        <f t="shared" si="6"/>
        <v>INSERT INTO sy_perm_list (USER_CD, OPT_CD, ACCESS_TYPE, BRANCH_CODE, CLASS_CODE, ENT_BY, ENT_DATE, ENT_BY_IP)</v>
      </c>
      <c r="Z13" s="12" t="str">
        <f t="shared" si="7"/>
        <v>VALUES('08801451','ClaimDocs.aspx', 'USER', '01', '08', 'ABDUL', SYSDATE, '10.6.100.63');</v>
      </c>
      <c r="AA13" s="12" t="str">
        <f t="shared" si="8"/>
        <v>INSERT INTO sy_perm_list (USER_CD, OPT_CD, ACCESS_TYPE, BRANCH_CODE, CLASS_CODE, ENT_BY, ENT_DATE, ENT_BY_IP)</v>
      </c>
      <c r="AB13" s="12" t="str">
        <f t="shared" si="9"/>
        <v>VALUES('08801451','Client.aspx', 'USER', '01', '08', 'ABDUL', SYSDATE, '10.6.100.63');</v>
      </c>
      <c r="AC13" s="12" t="str">
        <f t="shared" si="10"/>
        <v>INSERT INTO sy_perm_list (USER_CD, OPT_CD, ACCESS_TYPE, BRANCH_CODE, CLASS_CODE, ENT_BY, ENT_DATE, ENT_BY_IP)</v>
      </c>
      <c r="AD13" s="12" t="str">
        <f t="shared" si="11"/>
        <v>VALUES('08801451','ClientReports.aspx', 'USER', '01', '08', 'ABDUL', SYSDATE, '10.6.100.63');</v>
      </c>
      <c r="AE13" s="12" t="str">
        <f t="shared" si="12"/>
        <v>INSERT INTO sy_perm_list (USER_CD, OPT_CD, ACCESS_TYPE, BRANCH_CODE, CLASS_CODE, ENT_BY, ENT_DATE, ENT_BY_IP)</v>
      </c>
      <c r="AF13" s="12" t="str">
        <f t="shared" si="13"/>
        <v>VALUES('08801451','ClientRequests.aspx', 'USER', '01', '08', 'ABDUL', SYSDATE, '10.6.100.63');</v>
      </c>
      <c r="AG13" s="12" t="str">
        <f t="shared" si="14"/>
        <v>INSERT INTO sy_perm_list (USER_CD, OPT_CD, ACCESS_TYPE, BRANCH_CODE, CLASS_CODE, ENT_BY, ENT_DATE, ENT_BY_IP)</v>
      </c>
      <c r="AH13" s="12" t="str">
        <f t="shared" si="15"/>
        <v>VALUES('08801451','HealthLife.aspx', 'USER', '01', '08', 'ABDUL', SYSDATE, '10.6.100.63');</v>
      </c>
      <c r="AI13" s="12" t="str">
        <f t="shared" si="16"/>
        <v>INSERT INTO sy_perm_list (USER_CD, OPT_CD, ACCESS_TYPE, BRANCH_CODE, CLASS_CODE, ENT_BY, ENT_DATE, ENT_BY_IP)</v>
      </c>
      <c r="AJ13" s="12" t="str">
        <f t="shared" si="17"/>
        <v>VALUES('08801451','IpdClaim.aspx', 'USER', '01', '08', 'ABDUL', SYSDATE, '10.6.100.63');</v>
      </c>
      <c r="AK13" s="12" t="str">
        <f t="shared" si="18"/>
        <v>INSERT INTO sy_perm_list (USER_CD, OPT_CD, ACCESS_TYPE, BRANCH_CODE, CLASS_CODE, ENT_BY, ENT_DATE, ENT_BY_IP)</v>
      </c>
      <c r="AL13" s="12" t="str">
        <f t="shared" si="19"/>
        <v>VALUES('08801451','OpdClaim.aspx', 'USER', '01', '08', 'ABDUL', SYSDATE, '10.6.100.63');</v>
      </c>
      <c r="AM13" s="12" t="str">
        <f t="shared" si="20"/>
        <v>INSERT INTO sy_perm_list (USER_CD, OPT_CD, ACCESS_TYPE, BRANCH_CODE, CLASS_CODE, ENT_BY, ENT_DATE, ENT_BY_IP)</v>
      </c>
      <c r="AN13" s="12" t="str">
        <f t="shared" si="21"/>
        <v>VALUES('08801451','RequestDetails.aspx', 'USER', '01', '08', 'ABDUL', SYSDATE, '10.6.100.63');</v>
      </c>
      <c r="AO13" s="12" t="str">
        <f t="shared" si="22"/>
        <v>INSERT INTO sy_perm_list (USER_CD, OPT_CD, ACCESS_TYPE, BRANCH_CODE, CLASS_CODE, ENT_BY, ENT_DATE, ENT_BY_IP)</v>
      </c>
      <c r="AP13" s="12" t="str">
        <f t="shared" si="23"/>
        <v>VALUES('08801451','TodaysRequest.aspx', 'USER', '01', '08', 'ABDUL', SYSDATE, '10.6.100.63');</v>
      </c>
    </row>
    <row r="14" spans="1:42" s="20" customFormat="1" ht="77.25" thickBot="1" x14ac:dyDescent="0.25">
      <c r="A14" s="4">
        <v>12</v>
      </c>
      <c r="B14" s="24" t="s">
        <v>839</v>
      </c>
      <c r="C14" s="19"/>
      <c r="F14" s="19"/>
      <c r="H14" s="19"/>
      <c r="I14" s="19"/>
      <c r="J14" s="19" t="s">
        <v>432</v>
      </c>
      <c r="K14" s="20" t="s">
        <v>92</v>
      </c>
      <c r="L14" s="20" t="s">
        <v>93</v>
      </c>
      <c r="M14" s="25" t="s">
        <v>98</v>
      </c>
      <c r="N14" s="21"/>
      <c r="O14" s="21"/>
      <c r="P14" s="21"/>
      <c r="Q14" s="22"/>
      <c r="R14" s="22"/>
      <c r="S14" s="23" t="str">
        <f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14" s="23" t="str">
        <f>"VALUES('"&amp;B14&amp;"','"&amp;K14&amp;"','Salaam@123','Y','N',sysdate,'016', 'C', 'Client', '"&amp;M14&amp;"','01','B', '08', 'ABDUL', sysdate, '10.6.100.63', '"&amp;B13&amp;"');"</f>
        <v>VALUES('088014512','AL RAHIM RETAIL LIMITED','Salaam@123','Y','N',sysdate,'016', 'C', 'Client', 'wajid.mirza@alrahimtextile.com','01','B', '08', 'ABDUL', sysdate, '10.6.100.63', '08801451');</v>
      </c>
      <c r="U14" s="23" t="str">
        <f t="shared" si="2"/>
        <v>INSERT INTO sy_user_branches (USER_CD, BRANCH_CODE, CLASS_CODE, ENT_BY, ENT_DATE, ENT_BY_IP)</v>
      </c>
      <c r="V14" s="23" t="str">
        <f>"values('"&amp;B14&amp;"','01', '08', 'ABDUL', sysdate, '10.6.100.63');"</f>
        <v>values('088014512','01', '08', 'ABDUL', sysdate, '10.6.100.63');</v>
      </c>
      <c r="W14" s="23" t="str">
        <f t="shared" si="4"/>
        <v>INSERT INTO sy_perm_list (USER_CD, OPT_CD, ACCESS_TYPE, BRANCH_CODE, CLASS_CODE, ENT_BY, ENT_DATE, ENT_BY_IP)</v>
      </c>
      <c r="X14" s="23" t="str">
        <f>"VALUES('"&amp;B14&amp;"','ClaimComments.aspx', 'USER', '01', '08', 'ABDUL', SYSDATE, '10.6.100.63');"</f>
        <v>VALUES('088014512','ClaimComments.aspx', 'USER', '01', '08', 'ABDUL', SYSDATE, '10.6.100.63');</v>
      </c>
      <c r="Y14" s="23" t="str">
        <f t="shared" si="6"/>
        <v>INSERT INTO sy_perm_list (USER_CD, OPT_CD, ACCESS_TYPE, BRANCH_CODE, CLASS_CODE, ENT_BY, ENT_DATE, ENT_BY_IP)</v>
      </c>
      <c r="Z14" s="23" t="str">
        <f>"VALUES('"&amp;B14&amp;"','ClaimDocs.aspx', 'USER', '01', '08', 'ABDUL', SYSDATE, '10.6.100.63');"</f>
        <v>VALUES('088014512','ClaimDocs.aspx', 'USER', '01', '08', 'ABDUL', SYSDATE, '10.6.100.63');</v>
      </c>
      <c r="AA14" s="23" t="str">
        <f t="shared" si="8"/>
        <v>INSERT INTO sy_perm_list (USER_CD, OPT_CD, ACCESS_TYPE, BRANCH_CODE, CLASS_CODE, ENT_BY, ENT_DATE, ENT_BY_IP)</v>
      </c>
      <c r="AB14" s="23" t="str">
        <f>"VALUES('"&amp;B14&amp;"','Client.aspx', 'USER', '01', '08', 'ABDUL', SYSDATE, '10.6.100.63');"</f>
        <v>VALUES('088014512','Client.aspx', 'USER', '01', '08', 'ABDUL', SYSDATE, '10.6.100.63');</v>
      </c>
      <c r="AC14" s="23" t="str">
        <f t="shared" si="10"/>
        <v>INSERT INTO sy_perm_list (USER_CD, OPT_CD, ACCESS_TYPE, BRANCH_CODE, CLASS_CODE, ENT_BY, ENT_DATE, ENT_BY_IP)</v>
      </c>
      <c r="AD14" s="23" t="str">
        <f>"VALUES('"&amp;B14&amp;"','ClientReports.aspx', 'USER', '01', '08', 'ABDUL', SYSDATE, '10.6.100.63');"</f>
        <v>VALUES('088014512','ClientReports.aspx', 'USER', '01', '08', 'ABDUL', SYSDATE, '10.6.100.63');</v>
      </c>
      <c r="AE14" s="23" t="str">
        <f t="shared" si="12"/>
        <v>INSERT INTO sy_perm_list (USER_CD, OPT_CD, ACCESS_TYPE, BRANCH_CODE, CLASS_CODE, ENT_BY, ENT_DATE, ENT_BY_IP)</v>
      </c>
      <c r="AF14" s="23" t="str">
        <f>"VALUES('"&amp;B14&amp;"','ClientRequests.aspx', 'USER', '01', '08', 'ABDUL', SYSDATE, '10.6.100.63');"</f>
        <v>VALUES('088014512','ClientRequests.aspx', 'USER', '01', '08', 'ABDUL', SYSDATE, '10.6.100.63');</v>
      </c>
      <c r="AG14" s="23" t="str">
        <f t="shared" si="14"/>
        <v>INSERT INTO sy_perm_list (USER_CD, OPT_CD, ACCESS_TYPE, BRANCH_CODE, CLASS_CODE, ENT_BY, ENT_DATE, ENT_BY_IP)</v>
      </c>
      <c r="AH14" s="23" t="str">
        <f>"VALUES('"&amp;B14&amp;"','HealthLife.aspx', 'USER', '01', '08', 'ABDUL', SYSDATE, '10.6.100.63');"</f>
        <v>VALUES('088014512','HealthLife.aspx', 'USER', '01', '08', 'ABDUL', SYSDATE, '10.6.100.63');</v>
      </c>
      <c r="AI14" s="23" t="str">
        <f t="shared" si="16"/>
        <v>INSERT INTO sy_perm_list (USER_CD, OPT_CD, ACCESS_TYPE, BRANCH_CODE, CLASS_CODE, ENT_BY, ENT_DATE, ENT_BY_IP)</v>
      </c>
      <c r="AJ14" s="23" t="str">
        <f>"VALUES('"&amp;B14&amp;"','IpdClaim.aspx', 'USER', '01', '08', 'ABDUL', SYSDATE, '10.6.100.63');"</f>
        <v>VALUES('088014512','IpdClaim.aspx', 'USER', '01', '08', 'ABDUL', SYSDATE, '10.6.100.63');</v>
      </c>
      <c r="AK14" s="23" t="str">
        <f t="shared" si="18"/>
        <v>INSERT INTO sy_perm_list (USER_CD, OPT_CD, ACCESS_TYPE, BRANCH_CODE, CLASS_CODE, ENT_BY, ENT_DATE, ENT_BY_IP)</v>
      </c>
      <c r="AL14" s="23" t="str">
        <f>"VALUES('"&amp;B14&amp;"','OpdClaim.aspx', 'USER', '01', '08', 'ABDUL', SYSDATE, '10.6.100.63');"</f>
        <v>VALUES('088014512','OpdClaim.aspx', 'USER', '01', '08', 'ABDUL', SYSDATE, '10.6.100.63');</v>
      </c>
      <c r="AM14" s="23" t="str">
        <f t="shared" si="20"/>
        <v>INSERT INTO sy_perm_list (USER_CD, OPT_CD, ACCESS_TYPE, BRANCH_CODE, CLASS_CODE, ENT_BY, ENT_DATE, ENT_BY_IP)</v>
      </c>
      <c r="AN14" s="23" t="str">
        <f>"VALUES('"&amp;B14&amp;"','RequestDetails.aspx', 'USER', '01', '08', 'ABDUL', SYSDATE, '10.6.100.63');"</f>
        <v>VALUES('088014512','RequestDetails.aspx', 'USER', '01', '08', 'ABDUL', SYSDATE, '10.6.100.63');</v>
      </c>
      <c r="AO14" s="23" t="str">
        <f t="shared" si="22"/>
        <v>INSERT INTO sy_perm_list (USER_CD, OPT_CD, ACCESS_TYPE, BRANCH_CODE, CLASS_CODE, ENT_BY, ENT_DATE, ENT_BY_IP)</v>
      </c>
      <c r="AP14" s="23" t="str">
        <f>"VALUES('"&amp;B14&amp;"','TodaysRequest.aspx', 'USER', '01', '08', 'ABDUL', SYSDATE, '10.6.100.63');"</f>
        <v>VALUES('088014512','TodaysRequest.aspx', 'USER', '01', '08', 'ABDUL', SYSDATE, '10.6.100.63');</v>
      </c>
    </row>
    <row r="15" spans="1:42" s="6" customFormat="1" ht="76.5" x14ac:dyDescent="0.2">
      <c r="A15" s="4">
        <v>13</v>
      </c>
      <c r="B15" s="5" t="s">
        <v>670</v>
      </c>
      <c r="C15" s="5">
        <v>9000218</v>
      </c>
      <c r="D15" s="6" t="s">
        <v>310</v>
      </c>
      <c r="E15" s="6" t="s">
        <v>299</v>
      </c>
      <c r="F15" s="5" t="s">
        <v>287</v>
      </c>
      <c r="G15" s="6" t="s">
        <v>288</v>
      </c>
      <c r="H15" s="5" t="s">
        <v>649</v>
      </c>
      <c r="I15" s="5">
        <v>577</v>
      </c>
      <c r="J15" s="5" t="s">
        <v>327</v>
      </c>
      <c r="K15" s="6" t="s">
        <v>20</v>
      </c>
      <c r="L15" s="6" t="s">
        <v>99</v>
      </c>
      <c r="M15" s="6" t="s">
        <v>38</v>
      </c>
      <c r="N15" s="7">
        <v>44037</v>
      </c>
      <c r="O15" s="7">
        <v>44013</v>
      </c>
      <c r="P15" s="7">
        <v>44377</v>
      </c>
      <c r="Q15" s="8">
        <v>174</v>
      </c>
      <c r="R15" s="8">
        <v>174</v>
      </c>
      <c r="S15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5" s="12" t="str">
        <f t="shared" si="1"/>
        <v>VALUES('08801375','AL-HAFI &amp; CO (PVT) LIMITED','Salaam@123','Y','N',sysdate,'016', 'C', 'Client', 'sohail.hashmi@scilife.biz','01','B', '08', 'ABDUL', sysdate, '10.6.100.63', '08801375');</v>
      </c>
      <c r="U15" s="12" t="str">
        <f t="shared" si="2"/>
        <v>INSERT INTO sy_user_branches (USER_CD, BRANCH_CODE, CLASS_CODE, ENT_BY, ENT_DATE, ENT_BY_IP)</v>
      </c>
      <c r="V15" s="12" t="str">
        <f t="shared" si="3"/>
        <v>values('08801375','01', '08', 'ABDUL', sysdate, '10.6.100.63');</v>
      </c>
      <c r="W15" s="12" t="str">
        <f t="shared" si="4"/>
        <v>INSERT INTO sy_perm_list (USER_CD, OPT_CD, ACCESS_TYPE, BRANCH_CODE, CLASS_CODE, ENT_BY, ENT_DATE, ENT_BY_IP)</v>
      </c>
      <c r="X15" s="12" t="str">
        <f t="shared" si="5"/>
        <v>VALUES('08801375','ClaimComments.aspx', 'USER', '01', '08', 'ABDUL', SYSDATE, '10.6.100.63');</v>
      </c>
      <c r="Y15" s="12" t="str">
        <f t="shared" si="6"/>
        <v>INSERT INTO sy_perm_list (USER_CD, OPT_CD, ACCESS_TYPE, BRANCH_CODE, CLASS_CODE, ENT_BY, ENT_DATE, ENT_BY_IP)</v>
      </c>
      <c r="Z15" s="12" t="str">
        <f t="shared" si="7"/>
        <v>VALUES('08801375','ClaimDocs.aspx', 'USER', '01', '08', 'ABDUL', SYSDATE, '10.6.100.63');</v>
      </c>
      <c r="AA15" s="12" t="str">
        <f t="shared" si="8"/>
        <v>INSERT INTO sy_perm_list (USER_CD, OPT_CD, ACCESS_TYPE, BRANCH_CODE, CLASS_CODE, ENT_BY, ENT_DATE, ENT_BY_IP)</v>
      </c>
      <c r="AB15" s="12" t="str">
        <f t="shared" si="9"/>
        <v>VALUES('08801375','Client.aspx', 'USER', '01', '08', 'ABDUL', SYSDATE, '10.6.100.63');</v>
      </c>
      <c r="AC15" s="12" t="str">
        <f t="shared" si="10"/>
        <v>INSERT INTO sy_perm_list (USER_CD, OPT_CD, ACCESS_TYPE, BRANCH_CODE, CLASS_CODE, ENT_BY, ENT_DATE, ENT_BY_IP)</v>
      </c>
      <c r="AD15" s="12" t="str">
        <f t="shared" si="11"/>
        <v>VALUES('08801375','ClientReports.aspx', 'USER', '01', '08', 'ABDUL', SYSDATE, '10.6.100.63');</v>
      </c>
      <c r="AE15" s="12" t="str">
        <f t="shared" si="12"/>
        <v>INSERT INTO sy_perm_list (USER_CD, OPT_CD, ACCESS_TYPE, BRANCH_CODE, CLASS_CODE, ENT_BY, ENT_DATE, ENT_BY_IP)</v>
      </c>
      <c r="AF15" s="12" t="str">
        <f t="shared" si="13"/>
        <v>VALUES('08801375','ClientRequests.aspx', 'USER', '01', '08', 'ABDUL', SYSDATE, '10.6.100.63');</v>
      </c>
      <c r="AG15" s="12" t="str">
        <f t="shared" si="14"/>
        <v>INSERT INTO sy_perm_list (USER_CD, OPT_CD, ACCESS_TYPE, BRANCH_CODE, CLASS_CODE, ENT_BY, ENT_DATE, ENT_BY_IP)</v>
      </c>
      <c r="AH15" s="12" t="str">
        <f t="shared" si="15"/>
        <v>VALUES('08801375','HealthLife.aspx', 'USER', '01', '08', 'ABDUL', SYSDATE, '10.6.100.63');</v>
      </c>
      <c r="AI15" s="12" t="str">
        <f t="shared" si="16"/>
        <v>INSERT INTO sy_perm_list (USER_CD, OPT_CD, ACCESS_TYPE, BRANCH_CODE, CLASS_CODE, ENT_BY, ENT_DATE, ENT_BY_IP)</v>
      </c>
      <c r="AJ15" s="12" t="str">
        <f t="shared" si="17"/>
        <v>VALUES('08801375','IpdClaim.aspx', 'USER', '01', '08', 'ABDUL', SYSDATE, '10.6.100.63');</v>
      </c>
      <c r="AK15" s="12" t="str">
        <f t="shared" si="18"/>
        <v>INSERT INTO sy_perm_list (USER_CD, OPT_CD, ACCESS_TYPE, BRANCH_CODE, CLASS_CODE, ENT_BY, ENT_DATE, ENT_BY_IP)</v>
      </c>
      <c r="AL15" s="12" t="str">
        <f t="shared" si="19"/>
        <v>VALUES('08801375','OpdClaim.aspx', 'USER', '01', '08', 'ABDUL', SYSDATE, '10.6.100.63');</v>
      </c>
      <c r="AM15" s="12" t="str">
        <f t="shared" si="20"/>
        <v>INSERT INTO sy_perm_list (USER_CD, OPT_CD, ACCESS_TYPE, BRANCH_CODE, CLASS_CODE, ENT_BY, ENT_DATE, ENT_BY_IP)</v>
      </c>
      <c r="AN15" s="12" t="str">
        <f t="shared" si="21"/>
        <v>VALUES('08801375','RequestDetails.aspx', 'USER', '01', '08', 'ABDUL', SYSDATE, '10.6.100.63');</v>
      </c>
      <c r="AO15" s="12" t="str">
        <f t="shared" si="22"/>
        <v>INSERT INTO sy_perm_list (USER_CD, OPT_CD, ACCESS_TYPE, BRANCH_CODE, CLASS_CODE, ENT_BY, ENT_DATE, ENT_BY_IP)</v>
      </c>
      <c r="AP15" s="12" t="str">
        <f t="shared" si="23"/>
        <v>VALUES('08801375','TodaysRequest.aspx', 'USER', '01', '08', 'ABDUL', SYSDATE, '10.6.100.63');</v>
      </c>
    </row>
    <row r="16" spans="1:42" s="6" customFormat="1" ht="76.5" x14ac:dyDescent="0.2">
      <c r="A16" s="4">
        <v>14</v>
      </c>
      <c r="B16" s="5" t="s">
        <v>671</v>
      </c>
      <c r="C16" s="5">
        <v>9000241</v>
      </c>
      <c r="D16" s="6" t="s">
        <v>296</v>
      </c>
      <c r="E16" s="6" t="s">
        <v>290</v>
      </c>
      <c r="F16" s="5" t="s">
        <v>287</v>
      </c>
      <c r="G16" s="6" t="s">
        <v>288</v>
      </c>
      <c r="H16" s="5" t="s">
        <v>649</v>
      </c>
      <c r="I16" s="5">
        <v>620</v>
      </c>
      <c r="J16" s="5" t="s">
        <v>268</v>
      </c>
      <c r="K16" s="6" t="s">
        <v>357</v>
      </c>
      <c r="L16" s="6" t="s">
        <v>227</v>
      </c>
      <c r="M16" s="6" t="s">
        <v>228</v>
      </c>
      <c r="N16" s="7">
        <v>44095</v>
      </c>
      <c r="O16" s="7">
        <v>44059</v>
      </c>
      <c r="P16" s="7">
        <v>44377</v>
      </c>
      <c r="Q16" s="8">
        <v>300</v>
      </c>
      <c r="R16" s="8">
        <v>646</v>
      </c>
      <c r="S1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6" s="12" t="str">
        <f t="shared" si="1"/>
        <v>VALUES('08801532','AL-KARAM STUDIO','Salaam@123','Y','N',sysdate,'016', 'C', 'Client', 'shahzad.naqvi@alkaram.com','01','B', '08', 'ABDUL', sysdate, '10.6.100.63', '08801532');</v>
      </c>
      <c r="U16" s="12" t="str">
        <f t="shared" si="2"/>
        <v>INSERT INTO sy_user_branches (USER_CD, BRANCH_CODE, CLASS_CODE, ENT_BY, ENT_DATE, ENT_BY_IP)</v>
      </c>
      <c r="V16" s="12" t="str">
        <f t="shared" si="3"/>
        <v>values('08801532','01', '08', 'ABDUL', sysdate, '10.6.100.63');</v>
      </c>
      <c r="W16" s="12" t="str">
        <f t="shared" si="4"/>
        <v>INSERT INTO sy_perm_list (USER_CD, OPT_CD, ACCESS_TYPE, BRANCH_CODE, CLASS_CODE, ENT_BY, ENT_DATE, ENT_BY_IP)</v>
      </c>
      <c r="X16" s="12" t="str">
        <f t="shared" si="5"/>
        <v>VALUES('08801532','ClaimComments.aspx', 'USER', '01', '08', 'ABDUL', SYSDATE, '10.6.100.63');</v>
      </c>
      <c r="Y16" s="12" t="str">
        <f t="shared" si="6"/>
        <v>INSERT INTO sy_perm_list (USER_CD, OPT_CD, ACCESS_TYPE, BRANCH_CODE, CLASS_CODE, ENT_BY, ENT_DATE, ENT_BY_IP)</v>
      </c>
      <c r="Z16" s="12" t="str">
        <f t="shared" si="7"/>
        <v>VALUES('08801532','ClaimDocs.aspx', 'USER', '01', '08', 'ABDUL', SYSDATE, '10.6.100.63');</v>
      </c>
      <c r="AA16" s="12" t="str">
        <f t="shared" si="8"/>
        <v>INSERT INTO sy_perm_list (USER_CD, OPT_CD, ACCESS_TYPE, BRANCH_CODE, CLASS_CODE, ENT_BY, ENT_DATE, ENT_BY_IP)</v>
      </c>
      <c r="AB16" s="12" t="str">
        <f t="shared" si="9"/>
        <v>VALUES('08801532','Client.aspx', 'USER', '01', '08', 'ABDUL', SYSDATE, '10.6.100.63');</v>
      </c>
      <c r="AC16" s="12" t="str">
        <f t="shared" si="10"/>
        <v>INSERT INTO sy_perm_list (USER_CD, OPT_CD, ACCESS_TYPE, BRANCH_CODE, CLASS_CODE, ENT_BY, ENT_DATE, ENT_BY_IP)</v>
      </c>
      <c r="AD16" s="12" t="str">
        <f t="shared" si="11"/>
        <v>VALUES('08801532','ClientReports.aspx', 'USER', '01', '08', 'ABDUL', SYSDATE, '10.6.100.63');</v>
      </c>
      <c r="AE16" s="12" t="str">
        <f t="shared" si="12"/>
        <v>INSERT INTO sy_perm_list (USER_CD, OPT_CD, ACCESS_TYPE, BRANCH_CODE, CLASS_CODE, ENT_BY, ENT_DATE, ENT_BY_IP)</v>
      </c>
      <c r="AF16" s="12" t="str">
        <f t="shared" si="13"/>
        <v>VALUES('08801532','ClientRequests.aspx', 'USER', '01', '08', 'ABDUL', SYSDATE, '10.6.100.63');</v>
      </c>
      <c r="AG16" s="12" t="str">
        <f t="shared" si="14"/>
        <v>INSERT INTO sy_perm_list (USER_CD, OPT_CD, ACCESS_TYPE, BRANCH_CODE, CLASS_CODE, ENT_BY, ENT_DATE, ENT_BY_IP)</v>
      </c>
      <c r="AH16" s="12" t="str">
        <f t="shared" si="15"/>
        <v>VALUES('08801532','HealthLife.aspx', 'USER', '01', '08', 'ABDUL', SYSDATE, '10.6.100.63');</v>
      </c>
      <c r="AI16" s="12" t="str">
        <f t="shared" si="16"/>
        <v>INSERT INTO sy_perm_list (USER_CD, OPT_CD, ACCESS_TYPE, BRANCH_CODE, CLASS_CODE, ENT_BY, ENT_DATE, ENT_BY_IP)</v>
      </c>
      <c r="AJ16" s="12" t="str">
        <f t="shared" si="17"/>
        <v>VALUES('08801532','IpdClaim.aspx', 'USER', '01', '08', 'ABDUL', SYSDATE, '10.6.100.63');</v>
      </c>
      <c r="AK16" s="12" t="str">
        <f t="shared" si="18"/>
        <v>INSERT INTO sy_perm_list (USER_CD, OPT_CD, ACCESS_TYPE, BRANCH_CODE, CLASS_CODE, ENT_BY, ENT_DATE, ENT_BY_IP)</v>
      </c>
      <c r="AL16" s="12" t="str">
        <f t="shared" si="19"/>
        <v>VALUES('08801532','OpdClaim.aspx', 'USER', '01', '08', 'ABDUL', SYSDATE, '10.6.100.63');</v>
      </c>
      <c r="AM16" s="12" t="str">
        <f t="shared" si="20"/>
        <v>INSERT INTO sy_perm_list (USER_CD, OPT_CD, ACCESS_TYPE, BRANCH_CODE, CLASS_CODE, ENT_BY, ENT_DATE, ENT_BY_IP)</v>
      </c>
      <c r="AN16" s="12" t="str">
        <f t="shared" si="21"/>
        <v>VALUES('08801532','RequestDetails.aspx', 'USER', '01', '08', 'ABDUL', SYSDATE, '10.6.100.63');</v>
      </c>
      <c r="AO16" s="12" t="str">
        <f t="shared" si="22"/>
        <v>INSERT INTO sy_perm_list (USER_CD, OPT_CD, ACCESS_TYPE, BRANCH_CODE, CLASS_CODE, ENT_BY, ENT_DATE, ENT_BY_IP)</v>
      </c>
      <c r="AP16" s="12" t="str">
        <f t="shared" si="23"/>
        <v>VALUES('08801532','TodaysRequest.aspx', 'USER', '01', '08', 'ABDUL', SYSDATE, '10.6.100.63');</v>
      </c>
    </row>
    <row r="17" spans="1:42" s="6" customFormat="1" ht="76.5" x14ac:dyDescent="0.2">
      <c r="A17" s="4">
        <v>15</v>
      </c>
      <c r="B17" s="5" t="s">
        <v>672</v>
      </c>
      <c r="C17" s="5">
        <v>9000221</v>
      </c>
      <c r="D17" s="6" t="s">
        <v>285</v>
      </c>
      <c r="E17" s="6" t="s">
        <v>286</v>
      </c>
      <c r="F17" s="5" t="s">
        <v>287</v>
      </c>
      <c r="G17" s="6" t="s">
        <v>288</v>
      </c>
      <c r="H17" s="5" t="s">
        <v>649</v>
      </c>
      <c r="I17" s="5">
        <v>682</v>
      </c>
      <c r="J17" s="5" t="s">
        <v>407</v>
      </c>
      <c r="K17" s="6" t="s">
        <v>83</v>
      </c>
      <c r="L17" s="6" t="s">
        <v>51</v>
      </c>
      <c r="M17" s="6" t="s">
        <v>52</v>
      </c>
      <c r="N17" s="7">
        <v>44173</v>
      </c>
      <c r="O17" s="7">
        <v>44166</v>
      </c>
      <c r="P17" s="7">
        <v>44530</v>
      </c>
      <c r="Q17" s="8">
        <v>129</v>
      </c>
      <c r="R17" s="8">
        <v>279</v>
      </c>
      <c r="S1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7" s="12" t="str">
        <f t="shared" si="1"/>
        <v>VALUES('08801658','AMNA INDUSTRIES (PVT) LIMITED','Salaam@123','Y','N',sysdate,'016', 'C', 'Client', 'nazir.ahmed@amna.com.pk','01','B', '08', 'ABDUL', sysdate, '10.6.100.63', '08801658');</v>
      </c>
      <c r="U17" s="12" t="str">
        <f t="shared" si="2"/>
        <v>INSERT INTO sy_user_branches (USER_CD, BRANCH_CODE, CLASS_CODE, ENT_BY, ENT_DATE, ENT_BY_IP)</v>
      </c>
      <c r="V17" s="12" t="str">
        <f t="shared" si="3"/>
        <v>values('08801658','01', '08', 'ABDUL', sysdate, '10.6.100.63');</v>
      </c>
      <c r="W17" s="12" t="str">
        <f t="shared" si="4"/>
        <v>INSERT INTO sy_perm_list (USER_CD, OPT_CD, ACCESS_TYPE, BRANCH_CODE, CLASS_CODE, ENT_BY, ENT_DATE, ENT_BY_IP)</v>
      </c>
      <c r="X17" s="12" t="str">
        <f t="shared" si="5"/>
        <v>VALUES('08801658','ClaimComments.aspx', 'USER', '01', '08', 'ABDUL', SYSDATE, '10.6.100.63');</v>
      </c>
      <c r="Y17" s="12" t="str">
        <f t="shared" si="6"/>
        <v>INSERT INTO sy_perm_list (USER_CD, OPT_CD, ACCESS_TYPE, BRANCH_CODE, CLASS_CODE, ENT_BY, ENT_DATE, ENT_BY_IP)</v>
      </c>
      <c r="Z17" s="12" t="str">
        <f t="shared" si="7"/>
        <v>VALUES('08801658','ClaimDocs.aspx', 'USER', '01', '08', 'ABDUL', SYSDATE, '10.6.100.63');</v>
      </c>
      <c r="AA17" s="12" t="str">
        <f t="shared" si="8"/>
        <v>INSERT INTO sy_perm_list (USER_CD, OPT_CD, ACCESS_TYPE, BRANCH_CODE, CLASS_CODE, ENT_BY, ENT_DATE, ENT_BY_IP)</v>
      </c>
      <c r="AB17" s="12" t="str">
        <f t="shared" si="9"/>
        <v>VALUES('08801658','Client.aspx', 'USER', '01', '08', 'ABDUL', SYSDATE, '10.6.100.63');</v>
      </c>
      <c r="AC17" s="12" t="str">
        <f t="shared" si="10"/>
        <v>INSERT INTO sy_perm_list (USER_CD, OPT_CD, ACCESS_TYPE, BRANCH_CODE, CLASS_CODE, ENT_BY, ENT_DATE, ENT_BY_IP)</v>
      </c>
      <c r="AD17" s="12" t="str">
        <f t="shared" si="11"/>
        <v>VALUES('08801658','ClientReports.aspx', 'USER', '01', '08', 'ABDUL', SYSDATE, '10.6.100.63');</v>
      </c>
      <c r="AE17" s="12" t="str">
        <f t="shared" si="12"/>
        <v>INSERT INTO sy_perm_list (USER_CD, OPT_CD, ACCESS_TYPE, BRANCH_CODE, CLASS_CODE, ENT_BY, ENT_DATE, ENT_BY_IP)</v>
      </c>
      <c r="AF17" s="12" t="str">
        <f t="shared" si="13"/>
        <v>VALUES('08801658','ClientRequests.aspx', 'USER', '01', '08', 'ABDUL', SYSDATE, '10.6.100.63');</v>
      </c>
      <c r="AG17" s="12" t="str">
        <f t="shared" si="14"/>
        <v>INSERT INTO sy_perm_list (USER_CD, OPT_CD, ACCESS_TYPE, BRANCH_CODE, CLASS_CODE, ENT_BY, ENT_DATE, ENT_BY_IP)</v>
      </c>
      <c r="AH17" s="12" t="str">
        <f t="shared" si="15"/>
        <v>VALUES('08801658','HealthLife.aspx', 'USER', '01', '08', 'ABDUL', SYSDATE, '10.6.100.63');</v>
      </c>
      <c r="AI17" s="12" t="str">
        <f t="shared" si="16"/>
        <v>INSERT INTO sy_perm_list (USER_CD, OPT_CD, ACCESS_TYPE, BRANCH_CODE, CLASS_CODE, ENT_BY, ENT_DATE, ENT_BY_IP)</v>
      </c>
      <c r="AJ17" s="12" t="str">
        <f t="shared" si="17"/>
        <v>VALUES('08801658','IpdClaim.aspx', 'USER', '01', '08', 'ABDUL', SYSDATE, '10.6.100.63');</v>
      </c>
      <c r="AK17" s="12" t="str">
        <f t="shared" si="18"/>
        <v>INSERT INTO sy_perm_list (USER_CD, OPT_CD, ACCESS_TYPE, BRANCH_CODE, CLASS_CODE, ENT_BY, ENT_DATE, ENT_BY_IP)</v>
      </c>
      <c r="AL17" s="12" t="str">
        <f t="shared" si="19"/>
        <v>VALUES('08801658','OpdClaim.aspx', 'USER', '01', '08', 'ABDUL', SYSDATE, '10.6.100.63');</v>
      </c>
      <c r="AM17" s="12" t="str">
        <f t="shared" si="20"/>
        <v>INSERT INTO sy_perm_list (USER_CD, OPT_CD, ACCESS_TYPE, BRANCH_CODE, CLASS_CODE, ENT_BY, ENT_DATE, ENT_BY_IP)</v>
      </c>
      <c r="AN17" s="12" t="str">
        <f t="shared" si="21"/>
        <v>VALUES('08801658','RequestDetails.aspx', 'USER', '01', '08', 'ABDUL', SYSDATE, '10.6.100.63');</v>
      </c>
      <c r="AO17" s="12" t="str">
        <f t="shared" si="22"/>
        <v>INSERT INTO sy_perm_list (USER_CD, OPT_CD, ACCESS_TYPE, BRANCH_CODE, CLASS_CODE, ENT_BY, ENT_DATE, ENT_BY_IP)</v>
      </c>
      <c r="AP17" s="12" t="str">
        <f t="shared" si="23"/>
        <v>VALUES('08801658','TodaysRequest.aspx', 'USER', '01', '08', 'ABDUL', SYSDATE, '10.6.100.63');</v>
      </c>
    </row>
    <row r="18" spans="1:42" s="6" customFormat="1" ht="76.5" x14ac:dyDescent="0.2">
      <c r="A18" s="4">
        <v>16</v>
      </c>
      <c r="B18" s="5" t="s">
        <v>673</v>
      </c>
      <c r="C18" s="5">
        <v>9000138</v>
      </c>
      <c r="D18" s="6" t="s">
        <v>390</v>
      </c>
      <c r="E18" s="6" t="s">
        <v>299</v>
      </c>
      <c r="F18" s="5" t="s">
        <v>287</v>
      </c>
      <c r="G18" s="6" t="s">
        <v>288</v>
      </c>
      <c r="H18" s="5" t="s">
        <v>650</v>
      </c>
      <c r="I18" s="5">
        <v>671</v>
      </c>
      <c r="J18" s="5" t="s">
        <v>394</v>
      </c>
      <c r="K18" s="6" t="s">
        <v>395</v>
      </c>
      <c r="L18" s="6" t="s">
        <v>560</v>
      </c>
      <c r="M18" s="6" t="s">
        <v>564</v>
      </c>
      <c r="N18" s="7">
        <v>44161</v>
      </c>
      <c r="O18" s="7">
        <v>44140</v>
      </c>
      <c r="P18" s="7">
        <v>44377</v>
      </c>
      <c r="Q18" s="8">
        <v>7</v>
      </c>
      <c r="R18" s="8">
        <v>29</v>
      </c>
      <c r="S18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8" s="12" t="str">
        <f t="shared" si="1"/>
        <v>VALUES('08002040','ANAM WEAVING MILLS','Salaam@123','Y','N',sysdate,'016', 'C', 'Client', 'imran@anamweaving.com','01','B', '08', 'ABDUL', sysdate, '10.6.100.63', '08002040');</v>
      </c>
      <c r="U18" s="12" t="str">
        <f t="shared" si="2"/>
        <v>INSERT INTO sy_user_branches (USER_CD, BRANCH_CODE, CLASS_CODE, ENT_BY, ENT_DATE, ENT_BY_IP)</v>
      </c>
      <c r="V18" s="12" t="str">
        <f t="shared" si="3"/>
        <v>values('08002040','01', '08', 'ABDUL', sysdate, '10.6.100.63');</v>
      </c>
      <c r="W18" s="12" t="str">
        <f t="shared" si="4"/>
        <v>INSERT INTO sy_perm_list (USER_CD, OPT_CD, ACCESS_TYPE, BRANCH_CODE, CLASS_CODE, ENT_BY, ENT_DATE, ENT_BY_IP)</v>
      </c>
      <c r="X18" s="12" t="str">
        <f t="shared" si="5"/>
        <v>VALUES('08002040','ClaimComments.aspx', 'USER', '01', '08', 'ABDUL', SYSDATE, '10.6.100.63');</v>
      </c>
      <c r="Y18" s="12" t="str">
        <f t="shared" si="6"/>
        <v>INSERT INTO sy_perm_list (USER_CD, OPT_CD, ACCESS_TYPE, BRANCH_CODE, CLASS_CODE, ENT_BY, ENT_DATE, ENT_BY_IP)</v>
      </c>
      <c r="Z18" s="12" t="str">
        <f t="shared" si="7"/>
        <v>VALUES('08002040','ClaimDocs.aspx', 'USER', '01', '08', 'ABDUL', SYSDATE, '10.6.100.63');</v>
      </c>
      <c r="AA18" s="12" t="str">
        <f t="shared" si="8"/>
        <v>INSERT INTO sy_perm_list (USER_CD, OPT_CD, ACCESS_TYPE, BRANCH_CODE, CLASS_CODE, ENT_BY, ENT_DATE, ENT_BY_IP)</v>
      </c>
      <c r="AB18" s="12" t="str">
        <f t="shared" si="9"/>
        <v>VALUES('08002040','Client.aspx', 'USER', '01', '08', 'ABDUL', SYSDATE, '10.6.100.63');</v>
      </c>
      <c r="AC18" s="12" t="str">
        <f t="shared" si="10"/>
        <v>INSERT INTO sy_perm_list (USER_CD, OPT_CD, ACCESS_TYPE, BRANCH_CODE, CLASS_CODE, ENT_BY, ENT_DATE, ENT_BY_IP)</v>
      </c>
      <c r="AD18" s="12" t="str">
        <f t="shared" si="11"/>
        <v>VALUES('08002040','ClientReports.aspx', 'USER', '01', '08', 'ABDUL', SYSDATE, '10.6.100.63');</v>
      </c>
      <c r="AE18" s="12" t="str">
        <f t="shared" si="12"/>
        <v>INSERT INTO sy_perm_list (USER_CD, OPT_CD, ACCESS_TYPE, BRANCH_CODE, CLASS_CODE, ENT_BY, ENT_DATE, ENT_BY_IP)</v>
      </c>
      <c r="AF18" s="12" t="str">
        <f t="shared" si="13"/>
        <v>VALUES('08002040','ClientRequests.aspx', 'USER', '01', '08', 'ABDUL', SYSDATE, '10.6.100.63');</v>
      </c>
      <c r="AG18" s="12" t="str">
        <f t="shared" si="14"/>
        <v>INSERT INTO sy_perm_list (USER_CD, OPT_CD, ACCESS_TYPE, BRANCH_CODE, CLASS_CODE, ENT_BY, ENT_DATE, ENT_BY_IP)</v>
      </c>
      <c r="AH18" s="12" t="str">
        <f t="shared" si="15"/>
        <v>VALUES('08002040','HealthLife.aspx', 'USER', '01', '08', 'ABDUL', SYSDATE, '10.6.100.63');</v>
      </c>
      <c r="AI18" s="12" t="str">
        <f t="shared" si="16"/>
        <v>INSERT INTO sy_perm_list (USER_CD, OPT_CD, ACCESS_TYPE, BRANCH_CODE, CLASS_CODE, ENT_BY, ENT_DATE, ENT_BY_IP)</v>
      </c>
      <c r="AJ18" s="12" t="str">
        <f t="shared" si="17"/>
        <v>VALUES('08002040','IpdClaim.aspx', 'USER', '01', '08', 'ABDUL', SYSDATE, '10.6.100.63');</v>
      </c>
      <c r="AK18" s="12" t="str">
        <f t="shared" si="18"/>
        <v>INSERT INTO sy_perm_list (USER_CD, OPT_CD, ACCESS_TYPE, BRANCH_CODE, CLASS_CODE, ENT_BY, ENT_DATE, ENT_BY_IP)</v>
      </c>
      <c r="AL18" s="12" t="str">
        <f t="shared" si="19"/>
        <v>VALUES('08002040','OpdClaim.aspx', 'USER', '01', '08', 'ABDUL', SYSDATE, '10.6.100.63');</v>
      </c>
      <c r="AM18" s="12" t="str">
        <f t="shared" si="20"/>
        <v>INSERT INTO sy_perm_list (USER_CD, OPT_CD, ACCESS_TYPE, BRANCH_CODE, CLASS_CODE, ENT_BY, ENT_DATE, ENT_BY_IP)</v>
      </c>
      <c r="AN18" s="12" t="str">
        <f t="shared" si="21"/>
        <v>VALUES('08002040','RequestDetails.aspx', 'USER', '01', '08', 'ABDUL', SYSDATE, '10.6.100.63');</v>
      </c>
      <c r="AO18" s="12" t="str">
        <f t="shared" si="22"/>
        <v>INSERT INTO sy_perm_list (USER_CD, OPT_CD, ACCESS_TYPE, BRANCH_CODE, CLASS_CODE, ENT_BY, ENT_DATE, ENT_BY_IP)</v>
      </c>
      <c r="AP18" s="12" t="str">
        <f t="shared" si="23"/>
        <v>VALUES('08002040','TodaysRequest.aspx', 'USER', '01', '08', 'ABDUL', SYSDATE, '10.6.100.63');</v>
      </c>
    </row>
    <row r="19" spans="1:42" s="6" customFormat="1" ht="76.5" x14ac:dyDescent="0.2">
      <c r="A19" s="4">
        <v>17</v>
      </c>
      <c r="B19" s="5" t="s">
        <v>674</v>
      </c>
      <c r="C19" s="5">
        <v>9000246</v>
      </c>
      <c r="D19" s="6" t="s">
        <v>298</v>
      </c>
      <c r="E19" s="6" t="s">
        <v>299</v>
      </c>
      <c r="F19" s="5" t="s">
        <v>287</v>
      </c>
      <c r="G19" s="6" t="s">
        <v>288</v>
      </c>
      <c r="H19" s="5" t="s">
        <v>649</v>
      </c>
      <c r="I19" s="5">
        <v>533</v>
      </c>
      <c r="J19" s="5" t="s">
        <v>300</v>
      </c>
      <c r="K19" s="6" t="s">
        <v>207</v>
      </c>
      <c r="L19" s="6" t="s">
        <v>208</v>
      </c>
      <c r="M19" s="6" t="s">
        <v>209</v>
      </c>
      <c r="N19" s="7">
        <v>43964</v>
      </c>
      <c r="O19" s="7">
        <v>43952</v>
      </c>
      <c r="P19" s="7">
        <v>44316</v>
      </c>
      <c r="Q19" s="8">
        <v>27</v>
      </c>
      <c r="R19" s="8">
        <v>63</v>
      </c>
      <c r="S1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19" s="12" t="str">
        <f t="shared" si="1"/>
        <v>VALUES('08801318','AUSTRALIAN IMMIGRATION NETWORK &amp; IT (AINIT)','Salaam@123','Y','N',sysdate,'016', 'C', 'Client', 'csm@ainit.net','01','B', '08', 'ABDUL', sysdate, '10.6.100.63', '08801318');</v>
      </c>
      <c r="U19" s="12" t="str">
        <f t="shared" si="2"/>
        <v>INSERT INTO sy_user_branches (USER_CD, BRANCH_CODE, CLASS_CODE, ENT_BY, ENT_DATE, ENT_BY_IP)</v>
      </c>
      <c r="V19" s="12" t="str">
        <f t="shared" si="3"/>
        <v>values('08801318','01', '08', 'ABDUL', sysdate, '10.6.100.63');</v>
      </c>
      <c r="W19" s="12" t="str">
        <f t="shared" si="4"/>
        <v>INSERT INTO sy_perm_list (USER_CD, OPT_CD, ACCESS_TYPE, BRANCH_CODE, CLASS_CODE, ENT_BY, ENT_DATE, ENT_BY_IP)</v>
      </c>
      <c r="X19" s="12" t="str">
        <f t="shared" si="5"/>
        <v>VALUES('08801318','ClaimComments.aspx', 'USER', '01', '08', 'ABDUL', SYSDATE, '10.6.100.63');</v>
      </c>
      <c r="Y19" s="12" t="str">
        <f t="shared" si="6"/>
        <v>INSERT INTO sy_perm_list (USER_CD, OPT_CD, ACCESS_TYPE, BRANCH_CODE, CLASS_CODE, ENT_BY, ENT_DATE, ENT_BY_IP)</v>
      </c>
      <c r="Z19" s="12" t="str">
        <f t="shared" si="7"/>
        <v>VALUES('08801318','ClaimDocs.aspx', 'USER', '01', '08', 'ABDUL', SYSDATE, '10.6.100.63');</v>
      </c>
      <c r="AA19" s="12" t="str">
        <f t="shared" si="8"/>
        <v>INSERT INTO sy_perm_list (USER_CD, OPT_CD, ACCESS_TYPE, BRANCH_CODE, CLASS_CODE, ENT_BY, ENT_DATE, ENT_BY_IP)</v>
      </c>
      <c r="AB19" s="12" t="str">
        <f t="shared" si="9"/>
        <v>VALUES('08801318','Client.aspx', 'USER', '01', '08', 'ABDUL', SYSDATE, '10.6.100.63');</v>
      </c>
      <c r="AC19" s="12" t="str">
        <f t="shared" si="10"/>
        <v>INSERT INTO sy_perm_list (USER_CD, OPT_CD, ACCESS_TYPE, BRANCH_CODE, CLASS_CODE, ENT_BY, ENT_DATE, ENT_BY_IP)</v>
      </c>
      <c r="AD19" s="12" t="str">
        <f t="shared" si="11"/>
        <v>VALUES('08801318','ClientReports.aspx', 'USER', '01', '08', 'ABDUL', SYSDATE, '10.6.100.63');</v>
      </c>
      <c r="AE19" s="12" t="str">
        <f t="shared" si="12"/>
        <v>INSERT INTO sy_perm_list (USER_CD, OPT_CD, ACCESS_TYPE, BRANCH_CODE, CLASS_CODE, ENT_BY, ENT_DATE, ENT_BY_IP)</v>
      </c>
      <c r="AF19" s="12" t="str">
        <f t="shared" si="13"/>
        <v>VALUES('08801318','ClientRequests.aspx', 'USER', '01', '08', 'ABDUL', SYSDATE, '10.6.100.63');</v>
      </c>
      <c r="AG19" s="12" t="str">
        <f t="shared" si="14"/>
        <v>INSERT INTO sy_perm_list (USER_CD, OPT_CD, ACCESS_TYPE, BRANCH_CODE, CLASS_CODE, ENT_BY, ENT_DATE, ENT_BY_IP)</v>
      </c>
      <c r="AH19" s="12" t="str">
        <f t="shared" si="15"/>
        <v>VALUES('08801318','HealthLife.aspx', 'USER', '01', '08', 'ABDUL', SYSDATE, '10.6.100.63');</v>
      </c>
      <c r="AI19" s="12" t="str">
        <f t="shared" si="16"/>
        <v>INSERT INTO sy_perm_list (USER_CD, OPT_CD, ACCESS_TYPE, BRANCH_CODE, CLASS_CODE, ENT_BY, ENT_DATE, ENT_BY_IP)</v>
      </c>
      <c r="AJ19" s="12" t="str">
        <f t="shared" si="17"/>
        <v>VALUES('08801318','IpdClaim.aspx', 'USER', '01', '08', 'ABDUL', SYSDATE, '10.6.100.63');</v>
      </c>
      <c r="AK19" s="12" t="str">
        <f t="shared" si="18"/>
        <v>INSERT INTO sy_perm_list (USER_CD, OPT_CD, ACCESS_TYPE, BRANCH_CODE, CLASS_CODE, ENT_BY, ENT_DATE, ENT_BY_IP)</v>
      </c>
      <c r="AL19" s="12" t="str">
        <f t="shared" si="19"/>
        <v>VALUES('08801318','OpdClaim.aspx', 'USER', '01', '08', 'ABDUL', SYSDATE, '10.6.100.63');</v>
      </c>
      <c r="AM19" s="12" t="str">
        <f t="shared" si="20"/>
        <v>INSERT INTO sy_perm_list (USER_CD, OPT_CD, ACCESS_TYPE, BRANCH_CODE, CLASS_CODE, ENT_BY, ENT_DATE, ENT_BY_IP)</v>
      </c>
      <c r="AN19" s="12" t="str">
        <f t="shared" si="21"/>
        <v>VALUES('08801318','RequestDetails.aspx', 'USER', '01', '08', 'ABDUL', SYSDATE, '10.6.100.63');</v>
      </c>
      <c r="AO19" s="12" t="str">
        <f t="shared" si="22"/>
        <v>INSERT INTO sy_perm_list (USER_CD, OPT_CD, ACCESS_TYPE, BRANCH_CODE, CLASS_CODE, ENT_BY, ENT_DATE, ENT_BY_IP)</v>
      </c>
      <c r="AP19" s="12" t="str">
        <f t="shared" si="23"/>
        <v>VALUES('08801318','TodaysRequest.aspx', 'USER', '01', '08', 'ABDUL', SYSDATE, '10.6.100.63');</v>
      </c>
    </row>
    <row r="20" spans="1:42" s="6" customFormat="1" ht="76.5" x14ac:dyDescent="0.2">
      <c r="A20" s="4">
        <v>18</v>
      </c>
      <c r="B20" s="5" t="s">
        <v>675</v>
      </c>
      <c r="C20" s="5">
        <v>9000249</v>
      </c>
      <c r="D20" s="6" t="s">
        <v>322</v>
      </c>
      <c r="E20" s="6" t="s">
        <v>299</v>
      </c>
      <c r="F20" s="5" t="s">
        <v>287</v>
      </c>
      <c r="G20" s="6" t="s">
        <v>288</v>
      </c>
      <c r="H20" s="5" t="s">
        <v>649</v>
      </c>
      <c r="I20" s="5">
        <v>605</v>
      </c>
      <c r="J20" s="5" t="s">
        <v>349</v>
      </c>
      <c r="K20" s="6" t="s">
        <v>350</v>
      </c>
      <c r="L20" s="6" t="s">
        <v>213</v>
      </c>
      <c r="M20" s="6" t="s">
        <v>214</v>
      </c>
      <c r="N20" s="7">
        <v>44082</v>
      </c>
      <c r="O20" s="7">
        <v>44044</v>
      </c>
      <c r="P20" s="7">
        <v>44408</v>
      </c>
      <c r="Q20" s="8">
        <v>43</v>
      </c>
      <c r="R20" s="8">
        <v>164</v>
      </c>
      <c r="S2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0" s="12" t="str">
        <f t="shared" si="1"/>
        <v>VALUES('08801499','AWAN DISTRIBUTION (PVT) LTD','Salaam@123','Y','N',sysdate,'016', 'C', 'Client', 'saifunnabi@awandistribution.com ','01','B', '08', 'ABDUL', sysdate, '10.6.100.63', '08801499');</v>
      </c>
      <c r="U20" s="12" t="str">
        <f t="shared" si="2"/>
        <v>INSERT INTO sy_user_branches (USER_CD, BRANCH_CODE, CLASS_CODE, ENT_BY, ENT_DATE, ENT_BY_IP)</v>
      </c>
      <c r="V20" s="12" t="str">
        <f t="shared" si="3"/>
        <v>values('08801499','01', '08', 'ABDUL', sysdate, '10.6.100.63');</v>
      </c>
      <c r="W20" s="12" t="str">
        <f t="shared" si="4"/>
        <v>INSERT INTO sy_perm_list (USER_CD, OPT_CD, ACCESS_TYPE, BRANCH_CODE, CLASS_CODE, ENT_BY, ENT_DATE, ENT_BY_IP)</v>
      </c>
      <c r="X20" s="12" t="str">
        <f t="shared" si="5"/>
        <v>VALUES('08801499','ClaimComments.aspx', 'USER', '01', '08', 'ABDUL', SYSDATE, '10.6.100.63');</v>
      </c>
      <c r="Y20" s="12" t="str">
        <f t="shared" si="6"/>
        <v>INSERT INTO sy_perm_list (USER_CD, OPT_CD, ACCESS_TYPE, BRANCH_CODE, CLASS_CODE, ENT_BY, ENT_DATE, ENT_BY_IP)</v>
      </c>
      <c r="Z20" s="12" t="str">
        <f t="shared" si="7"/>
        <v>VALUES('08801499','ClaimDocs.aspx', 'USER', '01', '08', 'ABDUL', SYSDATE, '10.6.100.63');</v>
      </c>
      <c r="AA20" s="12" t="str">
        <f t="shared" si="8"/>
        <v>INSERT INTO sy_perm_list (USER_CD, OPT_CD, ACCESS_TYPE, BRANCH_CODE, CLASS_CODE, ENT_BY, ENT_DATE, ENT_BY_IP)</v>
      </c>
      <c r="AB20" s="12" t="str">
        <f t="shared" si="9"/>
        <v>VALUES('08801499','Client.aspx', 'USER', '01', '08', 'ABDUL', SYSDATE, '10.6.100.63');</v>
      </c>
      <c r="AC20" s="12" t="str">
        <f t="shared" si="10"/>
        <v>INSERT INTO sy_perm_list (USER_CD, OPT_CD, ACCESS_TYPE, BRANCH_CODE, CLASS_CODE, ENT_BY, ENT_DATE, ENT_BY_IP)</v>
      </c>
      <c r="AD20" s="12" t="str">
        <f t="shared" si="11"/>
        <v>VALUES('08801499','ClientReports.aspx', 'USER', '01', '08', 'ABDUL', SYSDATE, '10.6.100.63');</v>
      </c>
      <c r="AE20" s="12" t="str">
        <f t="shared" si="12"/>
        <v>INSERT INTO sy_perm_list (USER_CD, OPT_CD, ACCESS_TYPE, BRANCH_CODE, CLASS_CODE, ENT_BY, ENT_DATE, ENT_BY_IP)</v>
      </c>
      <c r="AF20" s="12" t="str">
        <f t="shared" si="13"/>
        <v>VALUES('08801499','ClientRequests.aspx', 'USER', '01', '08', 'ABDUL', SYSDATE, '10.6.100.63');</v>
      </c>
      <c r="AG20" s="12" t="str">
        <f t="shared" si="14"/>
        <v>INSERT INTO sy_perm_list (USER_CD, OPT_CD, ACCESS_TYPE, BRANCH_CODE, CLASS_CODE, ENT_BY, ENT_DATE, ENT_BY_IP)</v>
      </c>
      <c r="AH20" s="12" t="str">
        <f t="shared" si="15"/>
        <v>VALUES('08801499','HealthLife.aspx', 'USER', '01', '08', 'ABDUL', SYSDATE, '10.6.100.63');</v>
      </c>
      <c r="AI20" s="12" t="str">
        <f t="shared" si="16"/>
        <v>INSERT INTO sy_perm_list (USER_CD, OPT_CD, ACCESS_TYPE, BRANCH_CODE, CLASS_CODE, ENT_BY, ENT_DATE, ENT_BY_IP)</v>
      </c>
      <c r="AJ20" s="12" t="str">
        <f t="shared" si="17"/>
        <v>VALUES('08801499','IpdClaim.aspx', 'USER', '01', '08', 'ABDUL', SYSDATE, '10.6.100.63');</v>
      </c>
      <c r="AK20" s="12" t="str">
        <f t="shared" si="18"/>
        <v>INSERT INTO sy_perm_list (USER_CD, OPT_CD, ACCESS_TYPE, BRANCH_CODE, CLASS_CODE, ENT_BY, ENT_DATE, ENT_BY_IP)</v>
      </c>
      <c r="AL20" s="12" t="str">
        <f t="shared" si="19"/>
        <v>VALUES('08801499','OpdClaim.aspx', 'USER', '01', '08', 'ABDUL', SYSDATE, '10.6.100.63');</v>
      </c>
      <c r="AM20" s="12" t="str">
        <f t="shared" si="20"/>
        <v>INSERT INTO sy_perm_list (USER_CD, OPT_CD, ACCESS_TYPE, BRANCH_CODE, CLASS_CODE, ENT_BY, ENT_DATE, ENT_BY_IP)</v>
      </c>
      <c r="AN20" s="12" t="str">
        <f t="shared" si="21"/>
        <v>VALUES('08801499','RequestDetails.aspx', 'USER', '01', '08', 'ABDUL', SYSDATE, '10.6.100.63');</v>
      </c>
      <c r="AO20" s="12" t="str">
        <f t="shared" si="22"/>
        <v>INSERT INTO sy_perm_list (USER_CD, OPT_CD, ACCESS_TYPE, BRANCH_CODE, CLASS_CODE, ENT_BY, ENT_DATE, ENT_BY_IP)</v>
      </c>
      <c r="AP20" s="12" t="str">
        <f t="shared" si="23"/>
        <v>VALUES('08801499','TodaysRequest.aspx', 'USER', '01', '08', 'ABDUL', SYSDATE, '10.6.100.63');</v>
      </c>
    </row>
    <row r="21" spans="1:42" s="6" customFormat="1" ht="15.75" thickBot="1" x14ac:dyDescent="0.25">
      <c r="A21" s="4"/>
      <c r="B21" s="5" t="s">
        <v>675</v>
      </c>
      <c r="C21" s="5">
        <v>9000249</v>
      </c>
      <c r="D21" s="6" t="s">
        <v>322</v>
      </c>
      <c r="E21" s="6" t="s">
        <v>299</v>
      </c>
      <c r="F21" s="5" t="s">
        <v>287</v>
      </c>
      <c r="G21" s="6" t="s">
        <v>288</v>
      </c>
      <c r="H21" s="5" t="s">
        <v>649</v>
      </c>
      <c r="I21" s="5">
        <v>1110</v>
      </c>
      <c r="J21" s="46" t="s">
        <v>1036</v>
      </c>
      <c r="K21" s="6" t="s">
        <v>350</v>
      </c>
      <c r="L21" s="6" t="s">
        <v>213</v>
      </c>
      <c r="M21" s="6" t="s">
        <v>214</v>
      </c>
      <c r="N21" s="7"/>
      <c r="O21" s="7"/>
      <c r="P21" s="7"/>
      <c r="Q21" s="8"/>
      <c r="R21" s="8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s="6" customFormat="1" ht="76.5" x14ac:dyDescent="0.2">
      <c r="A22" s="4">
        <v>19</v>
      </c>
      <c r="B22" s="5" t="s">
        <v>676</v>
      </c>
      <c r="C22" s="5">
        <v>9000221</v>
      </c>
      <c r="D22" s="6" t="s">
        <v>285</v>
      </c>
      <c r="E22" s="6" t="s">
        <v>286</v>
      </c>
      <c r="F22" s="5" t="s">
        <v>287</v>
      </c>
      <c r="G22" s="6" t="s">
        <v>288</v>
      </c>
      <c r="H22" s="5" t="s">
        <v>649</v>
      </c>
      <c r="I22" s="5">
        <v>665</v>
      </c>
      <c r="J22" s="5" t="s">
        <v>391</v>
      </c>
      <c r="K22" s="6" t="s">
        <v>77</v>
      </c>
      <c r="L22" s="6" t="s">
        <v>120</v>
      </c>
      <c r="M22" s="6" t="s">
        <v>121</v>
      </c>
      <c r="N22" s="7">
        <v>44144</v>
      </c>
      <c r="O22" s="7">
        <v>44136</v>
      </c>
      <c r="P22" s="7">
        <v>44500</v>
      </c>
      <c r="Q22" s="8">
        <v>30</v>
      </c>
      <c r="R22" s="8">
        <v>73</v>
      </c>
      <c r="S22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2" s="12" t="str">
        <f t="shared" si="1"/>
        <v>VALUES('08800954','AXPULSE','Salaam@123','Y','N',sysdate,'016', 'C', 'Client', 'qasim.muhammad@brotetechnologies.com','01','B', '08', 'ABDUL', sysdate, '10.6.100.63', '08800954');</v>
      </c>
      <c r="U22" s="12" t="str">
        <f t="shared" si="2"/>
        <v>INSERT INTO sy_user_branches (USER_CD, BRANCH_CODE, CLASS_CODE, ENT_BY, ENT_DATE, ENT_BY_IP)</v>
      </c>
      <c r="V22" s="12" t="str">
        <f t="shared" si="3"/>
        <v>values('08800954','01', '08', 'ABDUL', sysdate, '10.6.100.63');</v>
      </c>
      <c r="W22" s="12" t="str">
        <f t="shared" si="4"/>
        <v>INSERT INTO sy_perm_list (USER_CD, OPT_CD, ACCESS_TYPE, BRANCH_CODE, CLASS_CODE, ENT_BY, ENT_DATE, ENT_BY_IP)</v>
      </c>
      <c r="X22" s="12" t="str">
        <f t="shared" si="5"/>
        <v>VALUES('08800954','ClaimComments.aspx', 'USER', '01', '08', 'ABDUL', SYSDATE, '10.6.100.63');</v>
      </c>
      <c r="Y22" s="12" t="str">
        <f t="shared" si="6"/>
        <v>INSERT INTO sy_perm_list (USER_CD, OPT_CD, ACCESS_TYPE, BRANCH_CODE, CLASS_CODE, ENT_BY, ENT_DATE, ENT_BY_IP)</v>
      </c>
      <c r="Z22" s="12" t="str">
        <f t="shared" si="7"/>
        <v>VALUES('08800954','ClaimDocs.aspx', 'USER', '01', '08', 'ABDUL', SYSDATE, '10.6.100.63');</v>
      </c>
      <c r="AA22" s="12" t="str">
        <f t="shared" si="8"/>
        <v>INSERT INTO sy_perm_list (USER_CD, OPT_CD, ACCESS_TYPE, BRANCH_CODE, CLASS_CODE, ENT_BY, ENT_DATE, ENT_BY_IP)</v>
      </c>
      <c r="AB22" s="12" t="str">
        <f t="shared" si="9"/>
        <v>VALUES('08800954','Client.aspx', 'USER', '01', '08', 'ABDUL', SYSDATE, '10.6.100.63');</v>
      </c>
      <c r="AC22" s="12" t="str">
        <f t="shared" si="10"/>
        <v>INSERT INTO sy_perm_list (USER_CD, OPT_CD, ACCESS_TYPE, BRANCH_CODE, CLASS_CODE, ENT_BY, ENT_DATE, ENT_BY_IP)</v>
      </c>
      <c r="AD22" s="12" t="str">
        <f t="shared" si="11"/>
        <v>VALUES('08800954','ClientReports.aspx', 'USER', '01', '08', 'ABDUL', SYSDATE, '10.6.100.63');</v>
      </c>
      <c r="AE22" s="12" t="str">
        <f t="shared" si="12"/>
        <v>INSERT INTO sy_perm_list (USER_CD, OPT_CD, ACCESS_TYPE, BRANCH_CODE, CLASS_CODE, ENT_BY, ENT_DATE, ENT_BY_IP)</v>
      </c>
      <c r="AF22" s="12" t="str">
        <f t="shared" si="13"/>
        <v>VALUES('08800954','ClientRequests.aspx', 'USER', '01', '08', 'ABDUL', SYSDATE, '10.6.100.63');</v>
      </c>
      <c r="AG22" s="12" t="str">
        <f t="shared" si="14"/>
        <v>INSERT INTO sy_perm_list (USER_CD, OPT_CD, ACCESS_TYPE, BRANCH_CODE, CLASS_CODE, ENT_BY, ENT_DATE, ENT_BY_IP)</v>
      </c>
      <c r="AH22" s="12" t="str">
        <f t="shared" si="15"/>
        <v>VALUES('08800954','HealthLife.aspx', 'USER', '01', '08', 'ABDUL', SYSDATE, '10.6.100.63');</v>
      </c>
      <c r="AI22" s="12" t="str">
        <f t="shared" si="16"/>
        <v>INSERT INTO sy_perm_list (USER_CD, OPT_CD, ACCESS_TYPE, BRANCH_CODE, CLASS_CODE, ENT_BY, ENT_DATE, ENT_BY_IP)</v>
      </c>
      <c r="AJ22" s="12" t="str">
        <f t="shared" si="17"/>
        <v>VALUES('08800954','IpdClaim.aspx', 'USER', '01', '08', 'ABDUL', SYSDATE, '10.6.100.63');</v>
      </c>
      <c r="AK22" s="12" t="str">
        <f t="shared" si="18"/>
        <v>INSERT INTO sy_perm_list (USER_CD, OPT_CD, ACCESS_TYPE, BRANCH_CODE, CLASS_CODE, ENT_BY, ENT_DATE, ENT_BY_IP)</v>
      </c>
      <c r="AL22" s="12" t="str">
        <f t="shared" si="19"/>
        <v>VALUES('08800954','OpdClaim.aspx', 'USER', '01', '08', 'ABDUL', SYSDATE, '10.6.100.63');</v>
      </c>
      <c r="AM22" s="12" t="str">
        <f t="shared" si="20"/>
        <v>INSERT INTO sy_perm_list (USER_CD, OPT_CD, ACCESS_TYPE, BRANCH_CODE, CLASS_CODE, ENT_BY, ENT_DATE, ENT_BY_IP)</v>
      </c>
      <c r="AN22" s="12" t="str">
        <f t="shared" si="21"/>
        <v>VALUES('08800954','RequestDetails.aspx', 'USER', '01', '08', 'ABDUL', SYSDATE, '10.6.100.63');</v>
      </c>
      <c r="AO22" s="12" t="str">
        <f t="shared" si="22"/>
        <v>INSERT INTO sy_perm_list (USER_CD, OPT_CD, ACCESS_TYPE, BRANCH_CODE, CLASS_CODE, ENT_BY, ENT_DATE, ENT_BY_IP)</v>
      </c>
      <c r="AP22" s="12" t="str">
        <f t="shared" si="23"/>
        <v>VALUES('08800954','TodaysRequest.aspx', 'USER', '01', '08', 'ABDUL', SYSDATE, '10.6.100.63');</v>
      </c>
    </row>
    <row r="23" spans="1:42" s="6" customFormat="1" ht="76.5" x14ac:dyDescent="0.2">
      <c r="A23" s="4">
        <v>20</v>
      </c>
      <c r="B23" s="5" t="s">
        <v>677</v>
      </c>
      <c r="C23" s="5">
        <v>9000006</v>
      </c>
      <c r="D23" s="6" t="s">
        <v>370</v>
      </c>
      <c r="E23" s="6" t="s">
        <v>299</v>
      </c>
      <c r="F23" s="5" t="s">
        <v>287</v>
      </c>
      <c r="G23" s="6" t="s">
        <v>288</v>
      </c>
      <c r="H23" s="5" t="s">
        <v>649</v>
      </c>
      <c r="I23" s="5">
        <v>630</v>
      </c>
      <c r="J23" s="5" t="s">
        <v>372</v>
      </c>
      <c r="K23" s="6" t="s">
        <v>81</v>
      </c>
      <c r="L23" s="6" t="s">
        <v>49</v>
      </c>
      <c r="M23" s="6" t="s">
        <v>50</v>
      </c>
      <c r="N23" s="7">
        <v>44102</v>
      </c>
      <c r="O23" s="7">
        <v>44105</v>
      </c>
      <c r="P23" s="7">
        <v>44469</v>
      </c>
      <c r="Q23" s="8">
        <v>87</v>
      </c>
      <c r="R23" s="8">
        <v>310</v>
      </c>
      <c r="S23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3" s="12" t="str">
        <f t="shared" si="1"/>
        <v>VALUES('08801551','AZON PHARMACEUTICALS &amp; NUTRITIONS (PVT) LIMITED','Salaam@123','Y','N',sysdate,'016', 'C', 'Client', 'haris.baig@azon.pn.com','01','B', '08', 'ABDUL', sysdate, '10.6.100.63', '08801551');</v>
      </c>
      <c r="U23" s="12" t="str">
        <f t="shared" si="2"/>
        <v>INSERT INTO sy_user_branches (USER_CD, BRANCH_CODE, CLASS_CODE, ENT_BY, ENT_DATE, ENT_BY_IP)</v>
      </c>
      <c r="V23" s="12" t="str">
        <f t="shared" si="3"/>
        <v>values('08801551','01', '08', 'ABDUL', sysdate, '10.6.100.63');</v>
      </c>
      <c r="W23" s="12" t="str">
        <f t="shared" si="4"/>
        <v>INSERT INTO sy_perm_list (USER_CD, OPT_CD, ACCESS_TYPE, BRANCH_CODE, CLASS_CODE, ENT_BY, ENT_DATE, ENT_BY_IP)</v>
      </c>
      <c r="X23" s="12" t="str">
        <f t="shared" si="5"/>
        <v>VALUES('08801551','ClaimComments.aspx', 'USER', '01', '08', 'ABDUL', SYSDATE, '10.6.100.63');</v>
      </c>
      <c r="Y23" s="12" t="str">
        <f t="shared" si="6"/>
        <v>INSERT INTO sy_perm_list (USER_CD, OPT_CD, ACCESS_TYPE, BRANCH_CODE, CLASS_CODE, ENT_BY, ENT_DATE, ENT_BY_IP)</v>
      </c>
      <c r="Z23" s="12" t="str">
        <f t="shared" si="7"/>
        <v>VALUES('08801551','ClaimDocs.aspx', 'USER', '01', '08', 'ABDUL', SYSDATE, '10.6.100.63');</v>
      </c>
      <c r="AA23" s="12" t="str">
        <f t="shared" si="8"/>
        <v>INSERT INTO sy_perm_list (USER_CD, OPT_CD, ACCESS_TYPE, BRANCH_CODE, CLASS_CODE, ENT_BY, ENT_DATE, ENT_BY_IP)</v>
      </c>
      <c r="AB23" s="12" t="str">
        <f t="shared" si="9"/>
        <v>VALUES('08801551','Client.aspx', 'USER', '01', '08', 'ABDUL', SYSDATE, '10.6.100.63');</v>
      </c>
      <c r="AC23" s="12" t="str">
        <f t="shared" si="10"/>
        <v>INSERT INTO sy_perm_list (USER_CD, OPT_CD, ACCESS_TYPE, BRANCH_CODE, CLASS_CODE, ENT_BY, ENT_DATE, ENT_BY_IP)</v>
      </c>
      <c r="AD23" s="12" t="str">
        <f t="shared" si="11"/>
        <v>VALUES('08801551','ClientReports.aspx', 'USER', '01', '08', 'ABDUL', SYSDATE, '10.6.100.63');</v>
      </c>
      <c r="AE23" s="12" t="str">
        <f t="shared" si="12"/>
        <v>INSERT INTO sy_perm_list (USER_CD, OPT_CD, ACCESS_TYPE, BRANCH_CODE, CLASS_CODE, ENT_BY, ENT_DATE, ENT_BY_IP)</v>
      </c>
      <c r="AF23" s="12" t="str">
        <f t="shared" si="13"/>
        <v>VALUES('08801551','ClientRequests.aspx', 'USER', '01', '08', 'ABDUL', SYSDATE, '10.6.100.63');</v>
      </c>
      <c r="AG23" s="12" t="str">
        <f t="shared" si="14"/>
        <v>INSERT INTO sy_perm_list (USER_CD, OPT_CD, ACCESS_TYPE, BRANCH_CODE, CLASS_CODE, ENT_BY, ENT_DATE, ENT_BY_IP)</v>
      </c>
      <c r="AH23" s="12" t="str">
        <f t="shared" si="15"/>
        <v>VALUES('08801551','HealthLife.aspx', 'USER', '01', '08', 'ABDUL', SYSDATE, '10.6.100.63');</v>
      </c>
      <c r="AI23" s="12" t="str">
        <f t="shared" si="16"/>
        <v>INSERT INTO sy_perm_list (USER_CD, OPT_CD, ACCESS_TYPE, BRANCH_CODE, CLASS_CODE, ENT_BY, ENT_DATE, ENT_BY_IP)</v>
      </c>
      <c r="AJ23" s="12" t="str">
        <f t="shared" si="17"/>
        <v>VALUES('08801551','IpdClaim.aspx', 'USER', '01', '08', 'ABDUL', SYSDATE, '10.6.100.63');</v>
      </c>
      <c r="AK23" s="12" t="str">
        <f t="shared" si="18"/>
        <v>INSERT INTO sy_perm_list (USER_CD, OPT_CD, ACCESS_TYPE, BRANCH_CODE, CLASS_CODE, ENT_BY, ENT_DATE, ENT_BY_IP)</v>
      </c>
      <c r="AL23" s="12" t="str">
        <f t="shared" si="19"/>
        <v>VALUES('08801551','OpdClaim.aspx', 'USER', '01', '08', 'ABDUL', SYSDATE, '10.6.100.63');</v>
      </c>
      <c r="AM23" s="12" t="str">
        <f t="shared" si="20"/>
        <v>INSERT INTO sy_perm_list (USER_CD, OPT_CD, ACCESS_TYPE, BRANCH_CODE, CLASS_CODE, ENT_BY, ENT_DATE, ENT_BY_IP)</v>
      </c>
      <c r="AN23" s="12" t="str">
        <f t="shared" si="21"/>
        <v>VALUES('08801551','RequestDetails.aspx', 'USER', '01', '08', 'ABDUL', SYSDATE, '10.6.100.63');</v>
      </c>
      <c r="AO23" s="12" t="str">
        <f t="shared" si="22"/>
        <v>INSERT INTO sy_perm_list (USER_CD, OPT_CD, ACCESS_TYPE, BRANCH_CODE, CLASS_CODE, ENT_BY, ENT_DATE, ENT_BY_IP)</v>
      </c>
      <c r="AP23" s="12" t="str">
        <f t="shared" si="23"/>
        <v>VALUES('08801551','TodaysRequest.aspx', 'USER', '01', '08', 'ABDUL', SYSDATE, '10.6.100.63');</v>
      </c>
    </row>
    <row r="24" spans="1:42" s="6" customFormat="1" ht="76.5" x14ac:dyDescent="0.2">
      <c r="A24" s="4">
        <v>21</v>
      </c>
      <c r="B24" s="5" t="s">
        <v>678</v>
      </c>
      <c r="C24" s="5">
        <v>9000218</v>
      </c>
      <c r="D24" s="6" t="s">
        <v>310</v>
      </c>
      <c r="E24" s="6" t="s">
        <v>299</v>
      </c>
      <c r="F24" s="5" t="s">
        <v>287</v>
      </c>
      <c r="G24" s="6" t="s">
        <v>288</v>
      </c>
      <c r="H24" s="5" t="s">
        <v>649</v>
      </c>
      <c r="I24" s="5">
        <v>656</v>
      </c>
      <c r="J24" s="5" t="s">
        <v>382</v>
      </c>
      <c r="K24" s="6" t="s">
        <v>383</v>
      </c>
      <c r="L24" s="6" t="s">
        <v>171</v>
      </c>
      <c r="M24" s="6" t="s">
        <v>172</v>
      </c>
      <c r="N24" s="7">
        <v>44120</v>
      </c>
      <c r="O24" s="7">
        <v>44059</v>
      </c>
      <c r="P24" s="7">
        <v>44423</v>
      </c>
      <c r="Q24" s="8">
        <v>104</v>
      </c>
      <c r="R24" s="8">
        <v>400</v>
      </c>
      <c r="S2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4" s="12" t="str">
        <f t="shared" si="1"/>
        <v>VALUES('08801385','BAY VIEW JUNIOR SCHOOL','Salaam@123','Y','N',sysdate,'016', 'C', 'Client', 'shams.perwaiz@bayviewhigh.edu.pk','01','B', '08', 'ABDUL', sysdate, '10.6.100.63', '08801385');</v>
      </c>
      <c r="U24" s="12" t="str">
        <f t="shared" si="2"/>
        <v>INSERT INTO sy_user_branches (USER_CD, BRANCH_CODE, CLASS_CODE, ENT_BY, ENT_DATE, ENT_BY_IP)</v>
      </c>
      <c r="V24" s="12" t="str">
        <f t="shared" si="3"/>
        <v>values('08801385','01', '08', 'ABDUL', sysdate, '10.6.100.63');</v>
      </c>
      <c r="W24" s="12" t="str">
        <f t="shared" si="4"/>
        <v>INSERT INTO sy_perm_list (USER_CD, OPT_CD, ACCESS_TYPE, BRANCH_CODE, CLASS_CODE, ENT_BY, ENT_DATE, ENT_BY_IP)</v>
      </c>
      <c r="X24" s="12" t="str">
        <f t="shared" si="5"/>
        <v>VALUES('08801385','ClaimComments.aspx', 'USER', '01', '08', 'ABDUL', SYSDATE, '10.6.100.63');</v>
      </c>
      <c r="Y24" s="12" t="str">
        <f t="shared" si="6"/>
        <v>INSERT INTO sy_perm_list (USER_CD, OPT_CD, ACCESS_TYPE, BRANCH_CODE, CLASS_CODE, ENT_BY, ENT_DATE, ENT_BY_IP)</v>
      </c>
      <c r="Z24" s="12" t="str">
        <f t="shared" si="7"/>
        <v>VALUES('08801385','ClaimDocs.aspx', 'USER', '01', '08', 'ABDUL', SYSDATE, '10.6.100.63');</v>
      </c>
      <c r="AA24" s="12" t="str">
        <f t="shared" si="8"/>
        <v>INSERT INTO sy_perm_list (USER_CD, OPT_CD, ACCESS_TYPE, BRANCH_CODE, CLASS_CODE, ENT_BY, ENT_DATE, ENT_BY_IP)</v>
      </c>
      <c r="AB24" s="12" t="str">
        <f t="shared" si="9"/>
        <v>VALUES('08801385','Client.aspx', 'USER', '01', '08', 'ABDUL', SYSDATE, '10.6.100.63');</v>
      </c>
      <c r="AC24" s="12" t="str">
        <f t="shared" si="10"/>
        <v>INSERT INTO sy_perm_list (USER_CD, OPT_CD, ACCESS_TYPE, BRANCH_CODE, CLASS_CODE, ENT_BY, ENT_DATE, ENT_BY_IP)</v>
      </c>
      <c r="AD24" s="12" t="str">
        <f t="shared" si="11"/>
        <v>VALUES('08801385','ClientReports.aspx', 'USER', '01', '08', 'ABDUL', SYSDATE, '10.6.100.63');</v>
      </c>
      <c r="AE24" s="12" t="str">
        <f t="shared" si="12"/>
        <v>INSERT INTO sy_perm_list (USER_CD, OPT_CD, ACCESS_TYPE, BRANCH_CODE, CLASS_CODE, ENT_BY, ENT_DATE, ENT_BY_IP)</v>
      </c>
      <c r="AF24" s="12" t="str">
        <f t="shared" si="13"/>
        <v>VALUES('08801385','ClientRequests.aspx', 'USER', '01', '08', 'ABDUL', SYSDATE, '10.6.100.63');</v>
      </c>
      <c r="AG24" s="12" t="str">
        <f t="shared" si="14"/>
        <v>INSERT INTO sy_perm_list (USER_CD, OPT_CD, ACCESS_TYPE, BRANCH_CODE, CLASS_CODE, ENT_BY, ENT_DATE, ENT_BY_IP)</v>
      </c>
      <c r="AH24" s="12" t="str">
        <f t="shared" si="15"/>
        <v>VALUES('08801385','HealthLife.aspx', 'USER', '01', '08', 'ABDUL', SYSDATE, '10.6.100.63');</v>
      </c>
      <c r="AI24" s="12" t="str">
        <f t="shared" si="16"/>
        <v>INSERT INTO sy_perm_list (USER_CD, OPT_CD, ACCESS_TYPE, BRANCH_CODE, CLASS_CODE, ENT_BY, ENT_DATE, ENT_BY_IP)</v>
      </c>
      <c r="AJ24" s="12" t="str">
        <f t="shared" si="17"/>
        <v>VALUES('08801385','IpdClaim.aspx', 'USER', '01', '08', 'ABDUL', SYSDATE, '10.6.100.63');</v>
      </c>
      <c r="AK24" s="12" t="str">
        <f t="shared" si="18"/>
        <v>INSERT INTO sy_perm_list (USER_CD, OPT_CD, ACCESS_TYPE, BRANCH_CODE, CLASS_CODE, ENT_BY, ENT_DATE, ENT_BY_IP)</v>
      </c>
      <c r="AL24" s="12" t="str">
        <f t="shared" si="19"/>
        <v>VALUES('08801385','OpdClaim.aspx', 'USER', '01', '08', 'ABDUL', SYSDATE, '10.6.100.63');</v>
      </c>
      <c r="AM24" s="12" t="str">
        <f t="shared" si="20"/>
        <v>INSERT INTO sy_perm_list (USER_CD, OPT_CD, ACCESS_TYPE, BRANCH_CODE, CLASS_CODE, ENT_BY, ENT_DATE, ENT_BY_IP)</v>
      </c>
      <c r="AN24" s="12" t="str">
        <f t="shared" si="21"/>
        <v>VALUES('08801385','RequestDetails.aspx', 'USER', '01', '08', 'ABDUL', SYSDATE, '10.6.100.63');</v>
      </c>
      <c r="AO24" s="12" t="str">
        <f t="shared" si="22"/>
        <v>INSERT INTO sy_perm_list (USER_CD, OPT_CD, ACCESS_TYPE, BRANCH_CODE, CLASS_CODE, ENT_BY, ENT_DATE, ENT_BY_IP)</v>
      </c>
      <c r="AP24" s="12" t="str">
        <f t="shared" si="23"/>
        <v>VALUES('08801385','TodaysRequest.aspx', 'USER', '01', '08', 'ABDUL', SYSDATE, '10.6.100.63');</v>
      </c>
    </row>
    <row r="25" spans="1:42" s="6" customFormat="1" ht="12.75" x14ac:dyDescent="0.2">
      <c r="A25" s="4"/>
      <c r="B25" s="5" t="s">
        <v>678</v>
      </c>
      <c r="C25" s="5">
        <v>9000218</v>
      </c>
      <c r="D25" s="6" t="s">
        <v>310</v>
      </c>
      <c r="E25" s="6" t="s">
        <v>299</v>
      </c>
      <c r="F25" s="5" t="s">
        <v>287</v>
      </c>
      <c r="G25" s="6" t="s">
        <v>288</v>
      </c>
      <c r="H25" s="5" t="s">
        <v>649</v>
      </c>
      <c r="I25" s="5">
        <v>1140</v>
      </c>
      <c r="J25" s="5" t="s">
        <v>1113</v>
      </c>
      <c r="K25" s="6" t="s">
        <v>383</v>
      </c>
      <c r="L25" s="6" t="s">
        <v>171</v>
      </c>
      <c r="M25" s="6" t="s">
        <v>172</v>
      </c>
      <c r="N25" s="7"/>
      <c r="O25" s="7"/>
      <c r="P25" s="7"/>
      <c r="Q25" s="8"/>
      <c r="R25" s="8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s="6" customFormat="1" ht="76.5" x14ac:dyDescent="0.2">
      <c r="A26" s="4">
        <v>22</v>
      </c>
      <c r="B26" s="5" t="s">
        <v>679</v>
      </c>
      <c r="C26" s="5">
        <v>9000275</v>
      </c>
      <c r="D26" s="6" t="s">
        <v>444</v>
      </c>
      <c r="E26" s="6" t="s">
        <v>299</v>
      </c>
      <c r="F26" s="5" t="s">
        <v>287</v>
      </c>
      <c r="G26" s="6" t="s">
        <v>288</v>
      </c>
      <c r="H26" s="5" t="s">
        <v>649</v>
      </c>
      <c r="I26" s="5">
        <v>808</v>
      </c>
      <c r="J26" s="5" t="s">
        <v>536</v>
      </c>
      <c r="K26" s="6" t="s">
        <v>537</v>
      </c>
      <c r="L26" s="6" t="s">
        <v>567</v>
      </c>
      <c r="M26" s="6" t="s">
        <v>568</v>
      </c>
      <c r="N26" s="7">
        <v>44264</v>
      </c>
      <c r="O26" s="7">
        <v>44256</v>
      </c>
      <c r="P26" s="7">
        <v>44620</v>
      </c>
      <c r="Q26" s="8">
        <v>46</v>
      </c>
      <c r="R26" s="8">
        <v>46</v>
      </c>
      <c r="S2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6" s="12" t="str">
        <f t="shared" si="1"/>
        <v>VALUES('08801822','BHATTI ENTERPRISES','Salaam@123','Y','N',sysdate,'016', 'C', 'Client', 'bhatti_int_@yahoo.com','01','B', '08', 'ABDUL', sysdate, '10.6.100.63', '08801822');</v>
      </c>
      <c r="U26" s="12" t="str">
        <f t="shared" si="2"/>
        <v>INSERT INTO sy_user_branches (USER_CD, BRANCH_CODE, CLASS_CODE, ENT_BY, ENT_DATE, ENT_BY_IP)</v>
      </c>
      <c r="V26" s="12" t="str">
        <f t="shared" si="3"/>
        <v>values('08801822','01', '08', 'ABDUL', sysdate, '10.6.100.63');</v>
      </c>
      <c r="W26" s="12" t="str">
        <f t="shared" si="4"/>
        <v>INSERT INTO sy_perm_list (USER_CD, OPT_CD, ACCESS_TYPE, BRANCH_CODE, CLASS_CODE, ENT_BY, ENT_DATE, ENT_BY_IP)</v>
      </c>
      <c r="X26" s="12" t="str">
        <f t="shared" si="5"/>
        <v>VALUES('08801822','ClaimComments.aspx', 'USER', '01', '08', 'ABDUL', SYSDATE, '10.6.100.63');</v>
      </c>
      <c r="Y26" s="12" t="str">
        <f t="shared" si="6"/>
        <v>INSERT INTO sy_perm_list (USER_CD, OPT_CD, ACCESS_TYPE, BRANCH_CODE, CLASS_CODE, ENT_BY, ENT_DATE, ENT_BY_IP)</v>
      </c>
      <c r="Z26" s="12" t="str">
        <f t="shared" si="7"/>
        <v>VALUES('08801822','ClaimDocs.aspx', 'USER', '01', '08', 'ABDUL', SYSDATE, '10.6.100.63');</v>
      </c>
      <c r="AA26" s="12" t="str">
        <f t="shared" si="8"/>
        <v>INSERT INTO sy_perm_list (USER_CD, OPT_CD, ACCESS_TYPE, BRANCH_CODE, CLASS_CODE, ENT_BY, ENT_DATE, ENT_BY_IP)</v>
      </c>
      <c r="AB26" s="12" t="str">
        <f t="shared" si="9"/>
        <v>VALUES('08801822','Client.aspx', 'USER', '01', '08', 'ABDUL', SYSDATE, '10.6.100.63');</v>
      </c>
      <c r="AC26" s="12" t="str">
        <f t="shared" si="10"/>
        <v>INSERT INTO sy_perm_list (USER_CD, OPT_CD, ACCESS_TYPE, BRANCH_CODE, CLASS_CODE, ENT_BY, ENT_DATE, ENT_BY_IP)</v>
      </c>
      <c r="AD26" s="12" t="str">
        <f t="shared" si="11"/>
        <v>VALUES('08801822','ClientReports.aspx', 'USER', '01', '08', 'ABDUL', SYSDATE, '10.6.100.63');</v>
      </c>
      <c r="AE26" s="12" t="str">
        <f t="shared" si="12"/>
        <v>INSERT INTO sy_perm_list (USER_CD, OPT_CD, ACCESS_TYPE, BRANCH_CODE, CLASS_CODE, ENT_BY, ENT_DATE, ENT_BY_IP)</v>
      </c>
      <c r="AF26" s="12" t="str">
        <f t="shared" si="13"/>
        <v>VALUES('08801822','ClientRequests.aspx', 'USER', '01', '08', 'ABDUL', SYSDATE, '10.6.100.63');</v>
      </c>
      <c r="AG26" s="12" t="str">
        <f t="shared" si="14"/>
        <v>INSERT INTO sy_perm_list (USER_CD, OPT_CD, ACCESS_TYPE, BRANCH_CODE, CLASS_CODE, ENT_BY, ENT_DATE, ENT_BY_IP)</v>
      </c>
      <c r="AH26" s="12" t="str">
        <f t="shared" si="15"/>
        <v>VALUES('08801822','HealthLife.aspx', 'USER', '01', '08', 'ABDUL', SYSDATE, '10.6.100.63');</v>
      </c>
      <c r="AI26" s="12" t="str">
        <f t="shared" si="16"/>
        <v>INSERT INTO sy_perm_list (USER_CD, OPT_CD, ACCESS_TYPE, BRANCH_CODE, CLASS_CODE, ENT_BY, ENT_DATE, ENT_BY_IP)</v>
      </c>
      <c r="AJ26" s="12" t="str">
        <f t="shared" si="17"/>
        <v>VALUES('08801822','IpdClaim.aspx', 'USER', '01', '08', 'ABDUL', SYSDATE, '10.6.100.63');</v>
      </c>
      <c r="AK26" s="12" t="str">
        <f t="shared" si="18"/>
        <v>INSERT INTO sy_perm_list (USER_CD, OPT_CD, ACCESS_TYPE, BRANCH_CODE, CLASS_CODE, ENT_BY, ENT_DATE, ENT_BY_IP)</v>
      </c>
      <c r="AL26" s="12" t="str">
        <f t="shared" si="19"/>
        <v>VALUES('08801822','OpdClaim.aspx', 'USER', '01', '08', 'ABDUL', SYSDATE, '10.6.100.63');</v>
      </c>
      <c r="AM26" s="12" t="str">
        <f t="shared" si="20"/>
        <v>INSERT INTO sy_perm_list (USER_CD, OPT_CD, ACCESS_TYPE, BRANCH_CODE, CLASS_CODE, ENT_BY, ENT_DATE, ENT_BY_IP)</v>
      </c>
      <c r="AN26" s="12" t="str">
        <f t="shared" si="21"/>
        <v>VALUES('08801822','RequestDetails.aspx', 'USER', '01', '08', 'ABDUL', SYSDATE, '10.6.100.63');</v>
      </c>
      <c r="AO26" s="12" t="str">
        <f t="shared" si="22"/>
        <v>INSERT INTO sy_perm_list (USER_CD, OPT_CD, ACCESS_TYPE, BRANCH_CODE, CLASS_CODE, ENT_BY, ENT_DATE, ENT_BY_IP)</v>
      </c>
      <c r="AP26" s="12" t="str">
        <f t="shared" si="23"/>
        <v>VALUES('08801822','TodaysRequest.aspx', 'USER', '01', '08', 'ABDUL', SYSDATE, '10.6.100.63');</v>
      </c>
    </row>
    <row r="27" spans="1:42" s="6" customFormat="1" ht="76.5" x14ac:dyDescent="0.2">
      <c r="A27" s="4">
        <v>23</v>
      </c>
      <c r="B27" s="5" t="s">
        <v>680</v>
      </c>
      <c r="C27" s="5">
        <v>9000244</v>
      </c>
      <c r="D27" s="6" t="s">
        <v>337</v>
      </c>
      <c r="E27" s="6" t="s">
        <v>290</v>
      </c>
      <c r="F27" s="5" t="s">
        <v>287</v>
      </c>
      <c r="G27" s="6" t="s">
        <v>288</v>
      </c>
      <c r="H27" s="5" t="s">
        <v>649</v>
      </c>
      <c r="I27" s="5">
        <v>739</v>
      </c>
      <c r="J27" s="5" t="s">
        <v>453</v>
      </c>
      <c r="K27" s="6" t="s">
        <v>454</v>
      </c>
      <c r="L27" s="6" t="s">
        <v>148</v>
      </c>
      <c r="M27" s="6" t="s">
        <v>149</v>
      </c>
      <c r="N27" s="7">
        <v>44216</v>
      </c>
      <c r="O27" s="7">
        <v>44181</v>
      </c>
      <c r="P27" s="7">
        <v>44545</v>
      </c>
      <c r="Q27" s="8">
        <v>18</v>
      </c>
      <c r="R27" s="8">
        <v>39</v>
      </c>
      <c r="S2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7" s="12" t="str">
        <f t="shared" si="1"/>
        <v>VALUES('08801079','BLUE BIRD INTERNATIONAL TECHNOLOGY','Salaam@123','Y','N',sysdate,'016', 'C', 'Client', 'p.m@bluebird-int.com.pk ','01','B', '08', 'ABDUL', sysdate, '10.6.100.63', '08801079');</v>
      </c>
      <c r="U27" s="12" t="str">
        <f t="shared" si="2"/>
        <v>INSERT INTO sy_user_branches (USER_CD, BRANCH_CODE, CLASS_CODE, ENT_BY, ENT_DATE, ENT_BY_IP)</v>
      </c>
      <c r="V27" s="12" t="str">
        <f t="shared" si="3"/>
        <v>values('08801079','01', '08', 'ABDUL', sysdate, '10.6.100.63');</v>
      </c>
      <c r="W27" s="12" t="str">
        <f t="shared" si="4"/>
        <v>INSERT INTO sy_perm_list (USER_CD, OPT_CD, ACCESS_TYPE, BRANCH_CODE, CLASS_CODE, ENT_BY, ENT_DATE, ENT_BY_IP)</v>
      </c>
      <c r="X27" s="12" t="str">
        <f t="shared" si="5"/>
        <v>VALUES('08801079','ClaimComments.aspx', 'USER', '01', '08', 'ABDUL', SYSDATE, '10.6.100.63');</v>
      </c>
      <c r="Y27" s="12" t="str">
        <f t="shared" si="6"/>
        <v>INSERT INTO sy_perm_list (USER_CD, OPT_CD, ACCESS_TYPE, BRANCH_CODE, CLASS_CODE, ENT_BY, ENT_DATE, ENT_BY_IP)</v>
      </c>
      <c r="Z27" s="12" t="str">
        <f t="shared" si="7"/>
        <v>VALUES('08801079','ClaimDocs.aspx', 'USER', '01', '08', 'ABDUL', SYSDATE, '10.6.100.63');</v>
      </c>
      <c r="AA27" s="12" t="str">
        <f t="shared" si="8"/>
        <v>INSERT INTO sy_perm_list (USER_CD, OPT_CD, ACCESS_TYPE, BRANCH_CODE, CLASS_CODE, ENT_BY, ENT_DATE, ENT_BY_IP)</v>
      </c>
      <c r="AB27" s="12" t="str">
        <f t="shared" si="9"/>
        <v>VALUES('08801079','Client.aspx', 'USER', '01', '08', 'ABDUL', SYSDATE, '10.6.100.63');</v>
      </c>
      <c r="AC27" s="12" t="str">
        <f t="shared" si="10"/>
        <v>INSERT INTO sy_perm_list (USER_CD, OPT_CD, ACCESS_TYPE, BRANCH_CODE, CLASS_CODE, ENT_BY, ENT_DATE, ENT_BY_IP)</v>
      </c>
      <c r="AD27" s="12" t="str">
        <f t="shared" si="11"/>
        <v>VALUES('08801079','ClientReports.aspx', 'USER', '01', '08', 'ABDUL', SYSDATE, '10.6.100.63');</v>
      </c>
      <c r="AE27" s="12" t="str">
        <f t="shared" si="12"/>
        <v>INSERT INTO sy_perm_list (USER_CD, OPT_CD, ACCESS_TYPE, BRANCH_CODE, CLASS_CODE, ENT_BY, ENT_DATE, ENT_BY_IP)</v>
      </c>
      <c r="AF27" s="12" t="str">
        <f t="shared" si="13"/>
        <v>VALUES('08801079','ClientRequests.aspx', 'USER', '01', '08', 'ABDUL', SYSDATE, '10.6.100.63');</v>
      </c>
      <c r="AG27" s="12" t="str">
        <f t="shared" si="14"/>
        <v>INSERT INTO sy_perm_list (USER_CD, OPT_CD, ACCESS_TYPE, BRANCH_CODE, CLASS_CODE, ENT_BY, ENT_DATE, ENT_BY_IP)</v>
      </c>
      <c r="AH27" s="12" t="str">
        <f t="shared" si="15"/>
        <v>VALUES('08801079','HealthLife.aspx', 'USER', '01', '08', 'ABDUL', SYSDATE, '10.6.100.63');</v>
      </c>
      <c r="AI27" s="12" t="str">
        <f t="shared" si="16"/>
        <v>INSERT INTO sy_perm_list (USER_CD, OPT_CD, ACCESS_TYPE, BRANCH_CODE, CLASS_CODE, ENT_BY, ENT_DATE, ENT_BY_IP)</v>
      </c>
      <c r="AJ27" s="12" t="str">
        <f t="shared" si="17"/>
        <v>VALUES('08801079','IpdClaim.aspx', 'USER', '01', '08', 'ABDUL', SYSDATE, '10.6.100.63');</v>
      </c>
      <c r="AK27" s="12" t="str">
        <f t="shared" si="18"/>
        <v>INSERT INTO sy_perm_list (USER_CD, OPT_CD, ACCESS_TYPE, BRANCH_CODE, CLASS_CODE, ENT_BY, ENT_DATE, ENT_BY_IP)</v>
      </c>
      <c r="AL27" s="12" t="str">
        <f t="shared" si="19"/>
        <v>VALUES('08801079','OpdClaim.aspx', 'USER', '01', '08', 'ABDUL', SYSDATE, '10.6.100.63');</v>
      </c>
      <c r="AM27" s="12" t="str">
        <f t="shared" si="20"/>
        <v>INSERT INTO sy_perm_list (USER_CD, OPT_CD, ACCESS_TYPE, BRANCH_CODE, CLASS_CODE, ENT_BY, ENT_DATE, ENT_BY_IP)</v>
      </c>
      <c r="AN27" s="12" t="str">
        <f t="shared" si="21"/>
        <v>VALUES('08801079','RequestDetails.aspx', 'USER', '01', '08', 'ABDUL', SYSDATE, '10.6.100.63');</v>
      </c>
      <c r="AO27" s="12" t="str">
        <f t="shared" si="22"/>
        <v>INSERT INTO sy_perm_list (USER_CD, OPT_CD, ACCESS_TYPE, BRANCH_CODE, CLASS_CODE, ENT_BY, ENT_DATE, ENT_BY_IP)</v>
      </c>
      <c r="AP27" s="12" t="str">
        <f t="shared" si="23"/>
        <v>VALUES('08801079','TodaysRequest.aspx', 'USER', '01', '08', 'ABDUL', SYSDATE, '10.6.100.63');</v>
      </c>
    </row>
    <row r="28" spans="1:42" s="6" customFormat="1" ht="76.5" x14ac:dyDescent="0.2">
      <c r="A28" s="4">
        <v>24</v>
      </c>
      <c r="B28" s="5" t="s">
        <v>681</v>
      </c>
      <c r="C28" s="5">
        <v>9000229</v>
      </c>
      <c r="D28" s="6" t="s">
        <v>520</v>
      </c>
      <c r="E28" s="6" t="s">
        <v>299</v>
      </c>
      <c r="F28" s="5" t="s">
        <v>287</v>
      </c>
      <c r="G28" s="6" t="s">
        <v>288</v>
      </c>
      <c r="H28" s="5" t="s">
        <v>649</v>
      </c>
      <c r="I28" s="5">
        <v>799</v>
      </c>
      <c r="J28" s="5" t="s">
        <v>521</v>
      </c>
      <c r="K28" s="6" t="s">
        <v>522</v>
      </c>
      <c r="L28" s="6" t="s">
        <v>565</v>
      </c>
      <c r="M28" s="6" t="s">
        <v>566</v>
      </c>
      <c r="N28" s="7">
        <v>44258</v>
      </c>
      <c r="O28" s="7">
        <v>44256</v>
      </c>
      <c r="P28" s="7">
        <v>44620</v>
      </c>
      <c r="Q28" s="8">
        <v>28</v>
      </c>
      <c r="R28" s="8">
        <v>76</v>
      </c>
      <c r="S28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8" s="12" t="str">
        <f t="shared" si="1"/>
        <v>VALUES('08003961','BRIOGENE (PVT) LTD','Salaam@123','Y','N',sysdate,'016', 'C', 'Client', 'umer.muhammad@briogene.com','01','B', '08', 'ABDUL', sysdate, '10.6.100.63', '08003961');</v>
      </c>
      <c r="U28" s="12" t="str">
        <f t="shared" si="2"/>
        <v>INSERT INTO sy_user_branches (USER_CD, BRANCH_CODE, CLASS_CODE, ENT_BY, ENT_DATE, ENT_BY_IP)</v>
      </c>
      <c r="V28" s="12" t="str">
        <f t="shared" si="3"/>
        <v>values('08003961','01', '08', 'ABDUL', sysdate, '10.6.100.63');</v>
      </c>
      <c r="W28" s="12" t="str">
        <f t="shared" si="4"/>
        <v>INSERT INTO sy_perm_list (USER_CD, OPT_CD, ACCESS_TYPE, BRANCH_CODE, CLASS_CODE, ENT_BY, ENT_DATE, ENT_BY_IP)</v>
      </c>
      <c r="X28" s="12" t="str">
        <f t="shared" si="5"/>
        <v>VALUES('08003961','ClaimComments.aspx', 'USER', '01', '08', 'ABDUL', SYSDATE, '10.6.100.63');</v>
      </c>
      <c r="Y28" s="12" t="str">
        <f t="shared" si="6"/>
        <v>INSERT INTO sy_perm_list (USER_CD, OPT_CD, ACCESS_TYPE, BRANCH_CODE, CLASS_CODE, ENT_BY, ENT_DATE, ENT_BY_IP)</v>
      </c>
      <c r="Z28" s="12" t="str">
        <f t="shared" si="7"/>
        <v>VALUES('08003961','ClaimDocs.aspx', 'USER', '01', '08', 'ABDUL', SYSDATE, '10.6.100.63');</v>
      </c>
      <c r="AA28" s="12" t="str">
        <f t="shared" si="8"/>
        <v>INSERT INTO sy_perm_list (USER_CD, OPT_CD, ACCESS_TYPE, BRANCH_CODE, CLASS_CODE, ENT_BY, ENT_DATE, ENT_BY_IP)</v>
      </c>
      <c r="AB28" s="12" t="str">
        <f t="shared" si="9"/>
        <v>VALUES('08003961','Client.aspx', 'USER', '01', '08', 'ABDUL', SYSDATE, '10.6.100.63');</v>
      </c>
      <c r="AC28" s="12" t="str">
        <f t="shared" si="10"/>
        <v>INSERT INTO sy_perm_list (USER_CD, OPT_CD, ACCESS_TYPE, BRANCH_CODE, CLASS_CODE, ENT_BY, ENT_DATE, ENT_BY_IP)</v>
      </c>
      <c r="AD28" s="12" t="str">
        <f t="shared" si="11"/>
        <v>VALUES('08003961','ClientReports.aspx', 'USER', '01', '08', 'ABDUL', SYSDATE, '10.6.100.63');</v>
      </c>
      <c r="AE28" s="12" t="str">
        <f t="shared" si="12"/>
        <v>INSERT INTO sy_perm_list (USER_CD, OPT_CD, ACCESS_TYPE, BRANCH_CODE, CLASS_CODE, ENT_BY, ENT_DATE, ENT_BY_IP)</v>
      </c>
      <c r="AF28" s="12" t="str">
        <f t="shared" si="13"/>
        <v>VALUES('08003961','ClientRequests.aspx', 'USER', '01', '08', 'ABDUL', SYSDATE, '10.6.100.63');</v>
      </c>
      <c r="AG28" s="12" t="str">
        <f t="shared" si="14"/>
        <v>INSERT INTO sy_perm_list (USER_CD, OPT_CD, ACCESS_TYPE, BRANCH_CODE, CLASS_CODE, ENT_BY, ENT_DATE, ENT_BY_IP)</v>
      </c>
      <c r="AH28" s="12" t="str">
        <f t="shared" si="15"/>
        <v>VALUES('08003961','HealthLife.aspx', 'USER', '01', '08', 'ABDUL', SYSDATE, '10.6.100.63');</v>
      </c>
      <c r="AI28" s="12" t="str">
        <f t="shared" si="16"/>
        <v>INSERT INTO sy_perm_list (USER_CD, OPT_CD, ACCESS_TYPE, BRANCH_CODE, CLASS_CODE, ENT_BY, ENT_DATE, ENT_BY_IP)</v>
      </c>
      <c r="AJ28" s="12" t="str">
        <f t="shared" si="17"/>
        <v>VALUES('08003961','IpdClaim.aspx', 'USER', '01', '08', 'ABDUL', SYSDATE, '10.6.100.63');</v>
      </c>
      <c r="AK28" s="12" t="str">
        <f t="shared" si="18"/>
        <v>INSERT INTO sy_perm_list (USER_CD, OPT_CD, ACCESS_TYPE, BRANCH_CODE, CLASS_CODE, ENT_BY, ENT_DATE, ENT_BY_IP)</v>
      </c>
      <c r="AL28" s="12" t="str">
        <f t="shared" si="19"/>
        <v>VALUES('08003961','OpdClaim.aspx', 'USER', '01', '08', 'ABDUL', SYSDATE, '10.6.100.63');</v>
      </c>
      <c r="AM28" s="12" t="str">
        <f t="shared" si="20"/>
        <v>INSERT INTO sy_perm_list (USER_CD, OPT_CD, ACCESS_TYPE, BRANCH_CODE, CLASS_CODE, ENT_BY, ENT_DATE, ENT_BY_IP)</v>
      </c>
      <c r="AN28" s="12" t="str">
        <f t="shared" si="21"/>
        <v>VALUES('08003961','RequestDetails.aspx', 'USER', '01', '08', 'ABDUL', SYSDATE, '10.6.100.63');</v>
      </c>
      <c r="AO28" s="12" t="str">
        <f t="shared" si="22"/>
        <v>INSERT INTO sy_perm_list (USER_CD, OPT_CD, ACCESS_TYPE, BRANCH_CODE, CLASS_CODE, ENT_BY, ENT_DATE, ENT_BY_IP)</v>
      </c>
      <c r="AP28" s="12" t="str">
        <f t="shared" si="23"/>
        <v>VALUES('08003961','TodaysRequest.aspx', 'USER', '01', '08', 'ABDUL', SYSDATE, '10.6.100.63');</v>
      </c>
    </row>
    <row r="29" spans="1:42" s="6" customFormat="1" ht="76.5" x14ac:dyDescent="0.2">
      <c r="A29" s="4">
        <v>25</v>
      </c>
      <c r="B29" s="5" t="s">
        <v>682</v>
      </c>
      <c r="C29" s="5">
        <v>9000250</v>
      </c>
      <c r="D29" s="6" t="s">
        <v>333</v>
      </c>
      <c r="E29" s="6" t="s">
        <v>290</v>
      </c>
      <c r="F29" s="5" t="s">
        <v>287</v>
      </c>
      <c r="G29" s="6" t="s">
        <v>288</v>
      </c>
      <c r="H29" s="5" t="s">
        <v>652</v>
      </c>
      <c r="I29" s="5">
        <v>681</v>
      </c>
      <c r="J29" s="5" t="s">
        <v>405</v>
      </c>
      <c r="K29" s="6" t="s">
        <v>406</v>
      </c>
      <c r="L29" s="6" t="s">
        <v>569</v>
      </c>
      <c r="M29" s="6" t="s">
        <v>570</v>
      </c>
      <c r="N29" s="7">
        <v>44173</v>
      </c>
      <c r="O29" s="7">
        <v>44166</v>
      </c>
      <c r="P29" s="7">
        <v>44347</v>
      </c>
      <c r="Q29" s="8">
        <v>11</v>
      </c>
      <c r="R29" s="8">
        <v>36</v>
      </c>
      <c r="S2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29" s="12" t="str">
        <f t="shared" si="1"/>
        <v>VALUES('08801657','CARDNO EMERGING MARKETS (AUSTRALIA) PTY LTD','Salaam@123','Y','N',sysdate,'016', 'C', 'Client', 'zohaib.mohammad@cardno.com','01','B', '08', 'ABDUL', sysdate, '10.6.100.63', '08801657');</v>
      </c>
      <c r="U29" s="12" t="str">
        <f t="shared" si="2"/>
        <v>INSERT INTO sy_user_branches (USER_CD, BRANCH_CODE, CLASS_CODE, ENT_BY, ENT_DATE, ENT_BY_IP)</v>
      </c>
      <c r="V29" s="12" t="str">
        <f t="shared" si="3"/>
        <v>values('08801657','01', '08', 'ABDUL', sysdate, '10.6.100.63');</v>
      </c>
      <c r="W29" s="12" t="str">
        <f t="shared" si="4"/>
        <v>INSERT INTO sy_perm_list (USER_CD, OPT_CD, ACCESS_TYPE, BRANCH_CODE, CLASS_CODE, ENT_BY, ENT_DATE, ENT_BY_IP)</v>
      </c>
      <c r="X29" s="12" t="str">
        <f t="shared" si="5"/>
        <v>VALUES('08801657','ClaimComments.aspx', 'USER', '01', '08', 'ABDUL', SYSDATE, '10.6.100.63');</v>
      </c>
      <c r="Y29" s="12" t="str">
        <f t="shared" si="6"/>
        <v>INSERT INTO sy_perm_list (USER_CD, OPT_CD, ACCESS_TYPE, BRANCH_CODE, CLASS_CODE, ENT_BY, ENT_DATE, ENT_BY_IP)</v>
      </c>
      <c r="Z29" s="12" t="str">
        <f t="shared" si="7"/>
        <v>VALUES('08801657','ClaimDocs.aspx', 'USER', '01', '08', 'ABDUL', SYSDATE, '10.6.100.63');</v>
      </c>
      <c r="AA29" s="12" t="str">
        <f t="shared" si="8"/>
        <v>INSERT INTO sy_perm_list (USER_CD, OPT_CD, ACCESS_TYPE, BRANCH_CODE, CLASS_CODE, ENT_BY, ENT_DATE, ENT_BY_IP)</v>
      </c>
      <c r="AB29" s="12" t="str">
        <f t="shared" si="9"/>
        <v>VALUES('08801657','Client.aspx', 'USER', '01', '08', 'ABDUL', SYSDATE, '10.6.100.63');</v>
      </c>
      <c r="AC29" s="12" t="str">
        <f t="shared" si="10"/>
        <v>INSERT INTO sy_perm_list (USER_CD, OPT_CD, ACCESS_TYPE, BRANCH_CODE, CLASS_CODE, ENT_BY, ENT_DATE, ENT_BY_IP)</v>
      </c>
      <c r="AD29" s="12" t="str">
        <f t="shared" si="11"/>
        <v>VALUES('08801657','ClientReports.aspx', 'USER', '01', '08', 'ABDUL', SYSDATE, '10.6.100.63');</v>
      </c>
      <c r="AE29" s="12" t="str">
        <f t="shared" si="12"/>
        <v>INSERT INTO sy_perm_list (USER_CD, OPT_CD, ACCESS_TYPE, BRANCH_CODE, CLASS_CODE, ENT_BY, ENT_DATE, ENT_BY_IP)</v>
      </c>
      <c r="AF29" s="12" t="str">
        <f t="shared" si="13"/>
        <v>VALUES('08801657','ClientRequests.aspx', 'USER', '01', '08', 'ABDUL', SYSDATE, '10.6.100.63');</v>
      </c>
      <c r="AG29" s="12" t="str">
        <f t="shared" si="14"/>
        <v>INSERT INTO sy_perm_list (USER_CD, OPT_CD, ACCESS_TYPE, BRANCH_CODE, CLASS_CODE, ENT_BY, ENT_DATE, ENT_BY_IP)</v>
      </c>
      <c r="AH29" s="12" t="str">
        <f t="shared" si="15"/>
        <v>VALUES('08801657','HealthLife.aspx', 'USER', '01', '08', 'ABDUL', SYSDATE, '10.6.100.63');</v>
      </c>
      <c r="AI29" s="12" t="str">
        <f t="shared" si="16"/>
        <v>INSERT INTO sy_perm_list (USER_CD, OPT_CD, ACCESS_TYPE, BRANCH_CODE, CLASS_CODE, ENT_BY, ENT_DATE, ENT_BY_IP)</v>
      </c>
      <c r="AJ29" s="12" t="str">
        <f t="shared" si="17"/>
        <v>VALUES('08801657','IpdClaim.aspx', 'USER', '01', '08', 'ABDUL', SYSDATE, '10.6.100.63');</v>
      </c>
      <c r="AK29" s="12" t="str">
        <f t="shared" si="18"/>
        <v>INSERT INTO sy_perm_list (USER_CD, OPT_CD, ACCESS_TYPE, BRANCH_CODE, CLASS_CODE, ENT_BY, ENT_DATE, ENT_BY_IP)</v>
      </c>
      <c r="AL29" s="12" t="str">
        <f t="shared" si="19"/>
        <v>VALUES('08801657','OpdClaim.aspx', 'USER', '01', '08', 'ABDUL', SYSDATE, '10.6.100.63');</v>
      </c>
      <c r="AM29" s="12" t="str">
        <f t="shared" si="20"/>
        <v>INSERT INTO sy_perm_list (USER_CD, OPT_CD, ACCESS_TYPE, BRANCH_CODE, CLASS_CODE, ENT_BY, ENT_DATE, ENT_BY_IP)</v>
      </c>
      <c r="AN29" s="12" t="str">
        <f t="shared" si="21"/>
        <v>VALUES('08801657','RequestDetails.aspx', 'USER', '01', '08', 'ABDUL', SYSDATE, '10.6.100.63');</v>
      </c>
      <c r="AO29" s="12" t="str">
        <f t="shared" si="22"/>
        <v>INSERT INTO sy_perm_list (USER_CD, OPT_CD, ACCESS_TYPE, BRANCH_CODE, CLASS_CODE, ENT_BY, ENT_DATE, ENT_BY_IP)</v>
      </c>
      <c r="AP29" s="12" t="str">
        <f t="shared" si="23"/>
        <v>VALUES('08801657','TodaysRequest.aspx', 'USER', '01', '08', 'ABDUL', SYSDATE, '10.6.100.63');</v>
      </c>
    </row>
    <row r="30" spans="1:42" s="6" customFormat="1" ht="76.5" x14ac:dyDescent="0.2">
      <c r="A30" s="4">
        <v>26</v>
      </c>
      <c r="B30" s="5" t="s">
        <v>683</v>
      </c>
      <c r="C30" s="5">
        <v>9000236</v>
      </c>
      <c r="D30" s="6" t="s">
        <v>329</v>
      </c>
      <c r="E30" s="6" t="s">
        <v>290</v>
      </c>
      <c r="F30" s="5" t="s">
        <v>287</v>
      </c>
      <c r="G30" s="6" t="s">
        <v>288</v>
      </c>
      <c r="H30" s="5" t="s">
        <v>651</v>
      </c>
      <c r="I30" s="5">
        <v>592</v>
      </c>
      <c r="J30" s="5" t="s">
        <v>331</v>
      </c>
      <c r="K30" s="6" t="s">
        <v>332</v>
      </c>
      <c r="L30" s="6" t="s">
        <v>571</v>
      </c>
      <c r="M30" s="6" t="s">
        <v>572</v>
      </c>
      <c r="N30" s="7">
        <v>44054</v>
      </c>
      <c r="O30" s="7">
        <v>44013</v>
      </c>
      <c r="P30" s="7">
        <v>44377</v>
      </c>
      <c r="Q30" s="8">
        <v>197</v>
      </c>
      <c r="R30" s="8">
        <v>582</v>
      </c>
      <c r="S3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30" s="12" t="str">
        <f t="shared" si="1"/>
        <v>VALUES('08800787','CECOS UNIVERSITY OF INFO TECH &amp; EMERGING SCIENCES','Salaam@123','Y','N',sysdate,'016', 'C', 'Client', 'muhammadimran@cecos.edu.pk','01','B', '08', 'ABDUL', sysdate, '10.6.100.63', '08800787');</v>
      </c>
      <c r="U30" s="12" t="str">
        <f t="shared" si="2"/>
        <v>INSERT INTO sy_user_branches (USER_CD, BRANCH_CODE, CLASS_CODE, ENT_BY, ENT_DATE, ENT_BY_IP)</v>
      </c>
      <c r="V30" s="12" t="str">
        <f t="shared" si="3"/>
        <v>values('08800787','01', '08', 'ABDUL', sysdate, '10.6.100.63');</v>
      </c>
      <c r="W30" s="12" t="str">
        <f t="shared" si="4"/>
        <v>INSERT INTO sy_perm_list (USER_CD, OPT_CD, ACCESS_TYPE, BRANCH_CODE, CLASS_CODE, ENT_BY, ENT_DATE, ENT_BY_IP)</v>
      </c>
      <c r="X30" s="12" t="str">
        <f t="shared" si="5"/>
        <v>VALUES('08800787','ClaimComments.aspx', 'USER', '01', '08', 'ABDUL', SYSDATE, '10.6.100.63');</v>
      </c>
      <c r="Y30" s="12" t="str">
        <f t="shared" si="6"/>
        <v>INSERT INTO sy_perm_list (USER_CD, OPT_CD, ACCESS_TYPE, BRANCH_CODE, CLASS_CODE, ENT_BY, ENT_DATE, ENT_BY_IP)</v>
      </c>
      <c r="Z30" s="12" t="str">
        <f t="shared" si="7"/>
        <v>VALUES('08800787','ClaimDocs.aspx', 'USER', '01', '08', 'ABDUL', SYSDATE, '10.6.100.63');</v>
      </c>
      <c r="AA30" s="12" t="str">
        <f t="shared" si="8"/>
        <v>INSERT INTO sy_perm_list (USER_CD, OPT_CD, ACCESS_TYPE, BRANCH_CODE, CLASS_CODE, ENT_BY, ENT_DATE, ENT_BY_IP)</v>
      </c>
      <c r="AB30" s="12" t="str">
        <f t="shared" si="9"/>
        <v>VALUES('08800787','Client.aspx', 'USER', '01', '08', 'ABDUL', SYSDATE, '10.6.100.63');</v>
      </c>
      <c r="AC30" s="12" t="str">
        <f t="shared" si="10"/>
        <v>INSERT INTO sy_perm_list (USER_CD, OPT_CD, ACCESS_TYPE, BRANCH_CODE, CLASS_CODE, ENT_BY, ENT_DATE, ENT_BY_IP)</v>
      </c>
      <c r="AD30" s="12" t="str">
        <f t="shared" si="11"/>
        <v>VALUES('08800787','ClientReports.aspx', 'USER', '01', '08', 'ABDUL', SYSDATE, '10.6.100.63');</v>
      </c>
      <c r="AE30" s="12" t="str">
        <f t="shared" si="12"/>
        <v>INSERT INTO sy_perm_list (USER_CD, OPT_CD, ACCESS_TYPE, BRANCH_CODE, CLASS_CODE, ENT_BY, ENT_DATE, ENT_BY_IP)</v>
      </c>
      <c r="AF30" s="12" t="str">
        <f t="shared" si="13"/>
        <v>VALUES('08800787','ClientRequests.aspx', 'USER', '01', '08', 'ABDUL', SYSDATE, '10.6.100.63');</v>
      </c>
      <c r="AG30" s="12" t="str">
        <f t="shared" si="14"/>
        <v>INSERT INTO sy_perm_list (USER_CD, OPT_CD, ACCESS_TYPE, BRANCH_CODE, CLASS_CODE, ENT_BY, ENT_DATE, ENT_BY_IP)</v>
      </c>
      <c r="AH30" s="12" t="str">
        <f t="shared" si="15"/>
        <v>VALUES('08800787','HealthLife.aspx', 'USER', '01', '08', 'ABDUL', SYSDATE, '10.6.100.63');</v>
      </c>
      <c r="AI30" s="12" t="str">
        <f t="shared" si="16"/>
        <v>INSERT INTO sy_perm_list (USER_CD, OPT_CD, ACCESS_TYPE, BRANCH_CODE, CLASS_CODE, ENT_BY, ENT_DATE, ENT_BY_IP)</v>
      </c>
      <c r="AJ30" s="12" t="str">
        <f t="shared" si="17"/>
        <v>VALUES('08800787','IpdClaim.aspx', 'USER', '01', '08', 'ABDUL', SYSDATE, '10.6.100.63');</v>
      </c>
      <c r="AK30" s="12" t="str">
        <f t="shared" si="18"/>
        <v>INSERT INTO sy_perm_list (USER_CD, OPT_CD, ACCESS_TYPE, BRANCH_CODE, CLASS_CODE, ENT_BY, ENT_DATE, ENT_BY_IP)</v>
      </c>
      <c r="AL30" s="12" t="str">
        <f t="shared" si="19"/>
        <v>VALUES('08800787','OpdClaim.aspx', 'USER', '01', '08', 'ABDUL', SYSDATE, '10.6.100.63');</v>
      </c>
      <c r="AM30" s="12" t="str">
        <f t="shared" si="20"/>
        <v>INSERT INTO sy_perm_list (USER_CD, OPT_CD, ACCESS_TYPE, BRANCH_CODE, CLASS_CODE, ENT_BY, ENT_DATE, ENT_BY_IP)</v>
      </c>
      <c r="AN30" s="12" t="str">
        <f t="shared" si="21"/>
        <v>VALUES('08800787','RequestDetails.aspx', 'USER', '01', '08', 'ABDUL', SYSDATE, '10.6.100.63');</v>
      </c>
      <c r="AO30" s="12" t="str">
        <f t="shared" si="22"/>
        <v>INSERT INTO sy_perm_list (USER_CD, OPT_CD, ACCESS_TYPE, BRANCH_CODE, CLASS_CODE, ENT_BY, ENT_DATE, ENT_BY_IP)</v>
      </c>
      <c r="AP30" s="12" t="str">
        <f t="shared" si="23"/>
        <v>VALUES('08800787','TodaysRequest.aspx', 'USER', '01', '08', 'ABDUL', SYSDATE, '10.6.100.63');</v>
      </c>
    </row>
    <row r="31" spans="1:42" s="6" customFormat="1" ht="76.5" x14ac:dyDescent="0.2">
      <c r="A31" s="4">
        <v>27</v>
      </c>
      <c r="B31" s="5" t="s">
        <v>684</v>
      </c>
      <c r="C31" s="5">
        <v>9000236</v>
      </c>
      <c r="D31" s="6" t="s">
        <v>329</v>
      </c>
      <c r="E31" s="6" t="s">
        <v>290</v>
      </c>
      <c r="F31" s="5" t="s">
        <v>287</v>
      </c>
      <c r="G31" s="6" t="s">
        <v>288</v>
      </c>
      <c r="H31" s="5" t="s">
        <v>652</v>
      </c>
      <c r="I31" s="5">
        <v>809</v>
      </c>
      <c r="J31" s="5" t="s">
        <v>534</v>
      </c>
      <c r="K31" s="6" t="s">
        <v>535</v>
      </c>
      <c r="L31" s="6" t="s">
        <v>573</v>
      </c>
      <c r="M31" s="6" t="s">
        <v>574</v>
      </c>
      <c r="N31" s="7">
        <v>44264</v>
      </c>
      <c r="O31" s="7">
        <v>44256</v>
      </c>
      <c r="P31" s="7">
        <v>44620</v>
      </c>
      <c r="Q31" s="8">
        <v>42</v>
      </c>
      <c r="R31" s="8">
        <v>56</v>
      </c>
      <c r="S31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31" s="12" t="str">
        <f t="shared" si="1"/>
        <v>VALUES('08801262','CHEF INTERNATIONAL','Salaam@123','Y','N',sysdate,'016', 'C', 'Client', 'tahir.naseem@chef.org.pk','01','B', '08', 'ABDUL', sysdate, '10.6.100.63', '08801262');</v>
      </c>
      <c r="U31" s="12" t="str">
        <f t="shared" si="2"/>
        <v>INSERT INTO sy_user_branches (USER_CD, BRANCH_CODE, CLASS_CODE, ENT_BY, ENT_DATE, ENT_BY_IP)</v>
      </c>
      <c r="V31" s="12" t="str">
        <f t="shared" si="3"/>
        <v>values('08801262','01', '08', 'ABDUL', sysdate, '10.6.100.63');</v>
      </c>
      <c r="W31" s="12" t="str">
        <f t="shared" si="4"/>
        <v>INSERT INTO sy_perm_list (USER_CD, OPT_CD, ACCESS_TYPE, BRANCH_CODE, CLASS_CODE, ENT_BY, ENT_DATE, ENT_BY_IP)</v>
      </c>
      <c r="X31" s="12" t="str">
        <f t="shared" si="5"/>
        <v>VALUES('08801262','ClaimComments.aspx', 'USER', '01', '08', 'ABDUL', SYSDATE, '10.6.100.63');</v>
      </c>
      <c r="Y31" s="12" t="str">
        <f t="shared" si="6"/>
        <v>INSERT INTO sy_perm_list (USER_CD, OPT_CD, ACCESS_TYPE, BRANCH_CODE, CLASS_CODE, ENT_BY, ENT_DATE, ENT_BY_IP)</v>
      </c>
      <c r="Z31" s="12" t="str">
        <f t="shared" si="7"/>
        <v>VALUES('08801262','ClaimDocs.aspx', 'USER', '01', '08', 'ABDUL', SYSDATE, '10.6.100.63');</v>
      </c>
      <c r="AA31" s="12" t="str">
        <f t="shared" si="8"/>
        <v>INSERT INTO sy_perm_list (USER_CD, OPT_CD, ACCESS_TYPE, BRANCH_CODE, CLASS_CODE, ENT_BY, ENT_DATE, ENT_BY_IP)</v>
      </c>
      <c r="AB31" s="12" t="str">
        <f t="shared" si="9"/>
        <v>VALUES('08801262','Client.aspx', 'USER', '01', '08', 'ABDUL', SYSDATE, '10.6.100.63');</v>
      </c>
      <c r="AC31" s="12" t="str">
        <f t="shared" si="10"/>
        <v>INSERT INTO sy_perm_list (USER_CD, OPT_CD, ACCESS_TYPE, BRANCH_CODE, CLASS_CODE, ENT_BY, ENT_DATE, ENT_BY_IP)</v>
      </c>
      <c r="AD31" s="12" t="str">
        <f t="shared" si="11"/>
        <v>VALUES('08801262','ClientReports.aspx', 'USER', '01', '08', 'ABDUL', SYSDATE, '10.6.100.63');</v>
      </c>
      <c r="AE31" s="12" t="str">
        <f t="shared" si="12"/>
        <v>INSERT INTO sy_perm_list (USER_CD, OPT_CD, ACCESS_TYPE, BRANCH_CODE, CLASS_CODE, ENT_BY, ENT_DATE, ENT_BY_IP)</v>
      </c>
      <c r="AF31" s="12" t="str">
        <f t="shared" si="13"/>
        <v>VALUES('08801262','ClientRequests.aspx', 'USER', '01', '08', 'ABDUL', SYSDATE, '10.6.100.63');</v>
      </c>
      <c r="AG31" s="12" t="str">
        <f t="shared" si="14"/>
        <v>INSERT INTO sy_perm_list (USER_CD, OPT_CD, ACCESS_TYPE, BRANCH_CODE, CLASS_CODE, ENT_BY, ENT_DATE, ENT_BY_IP)</v>
      </c>
      <c r="AH31" s="12" t="str">
        <f t="shared" si="15"/>
        <v>VALUES('08801262','HealthLife.aspx', 'USER', '01', '08', 'ABDUL', SYSDATE, '10.6.100.63');</v>
      </c>
      <c r="AI31" s="12" t="str">
        <f t="shared" si="16"/>
        <v>INSERT INTO sy_perm_list (USER_CD, OPT_CD, ACCESS_TYPE, BRANCH_CODE, CLASS_CODE, ENT_BY, ENT_DATE, ENT_BY_IP)</v>
      </c>
      <c r="AJ31" s="12" t="str">
        <f t="shared" si="17"/>
        <v>VALUES('08801262','IpdClaim.aspx', 'USER', '01', '08', 'ABDUL', SYSDATE, '10.6.100.63');</v>
      </c>
      <c r="AK31" s="12" t="str">
        <f t="shared" si="18"/>
        <v>INSERT INTO sy_perm_list (USER_CD, OPT_CD, ACCESS_TYPE, BRANCH_CODE, CLASS_CODE, ENT_BY, ENT_DATE, ENT_BY_IP)</v>
      </c>
      <c r="AL31" s="12" t="str">
        <f t="shared" si="19"/>
        <v>VALUES('08801262','OpdClaim.aspx', 'USER', '01', '08', 'ABDUL', SYSDATE, '10.6.100.63');</v>
      </c>
      <c r="AM31" s="12" t="str">
        <f t="shared" si="20"/>
        <v>INSERT INTO sy_perm_list (USER_CD, OPT_CD, ACCESS_TYPE, BRANCH_CODE, CLASS_CODE, ENT_BY, ENT_DATE, ENT_BY_IP)</v>
      </c>
      <c r="AN31" s="12" t="str">
        <f t="shared" si="21"/>
        <v>VALUES('08801262','RequestDetails.aspx', 'USER', '01', '08', 'ABDUL', SYSDATE, '10.6.100.63');</v>
      </c>
      <c r="AO31" s="12" t="str">
        <f t="shared" si="22"/>
        <v>INSERT INTO sy_perm_list (USER_CD, OPT_CD, ACCESS_TYPE, BRANCH_CODE, CLASS_CODE, ENT_BY, ENT_DATE, ENT_BY_IP)</v>
      </c>
      <c r="AP31" s="12" t="str">
        <f t="shared" si="23"/>
        <v>VALUES('08801262','TodaysRequest.aspx', 'USER', '01', '08', 'ABDUL', SYSDATE, '10.6.100.63');</v>
      </c>
    </row>
    <row r="32" spans="1:42" s="6" customFormat="1" ht="76.5" x14ac:dyDescent="0.2">
      <c r="A32" s="4">
        <v>28</v>
      </c>
      <c r="B32" s="5" t="s">
        <v>685</v>
      </c>
      <c r="C32" s="5">
        <v>9000241</v>
      </c>
      <c r="D32" s="6" t="s">
        <v>296</v>
      </c>
      <c r="E32" s="6" t="s">
        <v>290</v>
      </c>
      <c r="F32" s="5" t="s">
        <v>287</v>
      </c>
      <c r="G32" s="6" t="s">
        <v>288</v>
      </c>
      <c r="H32" s="5" t="s">
        <v>649</v>
      </c>
      <c r="I32" s="5">
        <v>748</v>
      </c>
      <c r="J32" s="5" t="s">
        <v>465</v>
      </c>
      <c r="K32" s="6" t="s">
        <v>88</v>
      </c>
      <c r="L32" s="6" t="s">
        <v>58</v>
      </c>
      <c r="M32" s="6" t="s">
        <v>59</v>
      </c>
      <c r="N32" s="7">
        <v>44225</v>
      </c>
      <c r="O32" s="7">
        <v>44216</v>
      </c>
      <c r="P32" s="7">
        <v>44580</v>
      </c>
      <c r="Q32" s="8">
        <v>922</v>
      </c>
      <c r="R32" s="8">
        <v>3621</v>
      </c>
      <c r="S32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32" s="12" t="str">
        <f t="shared" si="1"/>
        <v>VALUES('08801729','CONTOUR SOFTWARE (PRIVATE) LIMITED','Salaam@123','Y','N',sysdate,'016', 'C', 'Client', 'skhan@contour-software.com','01','B', '08', 'ABDUL', sysdate, '10.6.100.63', '08801729');</v>
      </c>
      <c r="U32" s="12" t="str">
        <f t="shared" si="2"/>
        <v>INSERT INTO sy_user_branches (USER_CD, BRANCH_CODE, CLASS_CODE, ENT_BY, ENT_DATE, ENT_BY_IP)</v>
      </c>
      <c r="V32" s="12" t="str">
        <f t="shared" si="3"/>
        <v>values('08801729','01', '08', 'ABDUL', sysdate, '10.6.100.63');</v>
      </c>
      <c r="W32" s="12" t="str">
        <f t="shared" si="4"/>
        <v>INSERT INTO sy_perm_list (USER_CD, OPT_CD, ACCESS_TYPE, BRANCH_CODE, CLASS_CODE, ENT_BY, ENT_DATE, ENT_BY_IP)</v>
      </c>
      <c r="X32" s="12" t="str">
        <f t="shared" si="5"/>
        <v>VALUES('08801729','ClaimComments.aspx', 'USER', '01', '08', 'ABDUL', SYSDATE, '10.6.100.63');</v>
      </c>
      <c r="Y32" s="12" t="str">
        <f t="shared" si="6"/>
        <v>INSERT INTO sy_perm_list (USER_CD, OPT_CD, ACCESS_TYPE, BRANCH_CODE, CLASS_CODE, ENT_BY, ENT_DATE, ENT_BY_IP)</v>
      </c>
      <c r="Z32" s="12" t="str">
        <f t="shared" si="7"/>
        <v>VALUES('08801729','ClaimDocs.aspx', 'USER', '01', '08', 'ABDUL', SYSDATE, '10.6.100.63');</v>
      </c>
      <c r="AA32" s="12" t="str">
        <f t="shared" si="8"/>
        <v>INSERT INTO sy_perm_list (USER_CD, OPT_CD, ACCESS_TYPE, BRANCH_CODE, CLASS_CODE, ENT_BY, ENT_DATE, ENT_BY_IP)</v>
      </c>
      <c r="AB32" s="12" t="str">
        <f t="shared" si="9"/>
        <v>VALUES('08801729','Client.aspx', 'USER', '01', '08', 'ABDUL', SYSDATE, '10.6.100.63');</v>
      </c>
      <c r="AC32" s="12" t="str">
        <f t="shared" si="10"/>
        <v>INSERT INTO sy_perm_list (USER_CD, OPT_CD, ACCESS_TYPE, BRANCH_CODE, CLASS_CODE, ENT_BY, ENT_DATE, ENT_BY_IP)</v>
      </c>
      <c r="AD32" s="12" t="str">
        <f t="shared" si="11"/>
        <v>VALUES('08801729','ClientReports.aspx', 'USER', '01', '08', 'ABDUL', SYSDATE, '10.6.100.63');</v>
      </c>
      <c r="AE32" s="12" t="str">
        <f t="shared" si="12"/>
        <v>INSERT INTO sy_perm_list (USER_CD, OPT_CD, ACCESS_TYPE, BRANCH_CODE, CLASS_CODE, ENT_BY, ENT_DATE, ENT_BY_IP)</v>
      </c>
      <c r="AF32" s="12" t="str">
        <f t="shared" si="13"/>
        <v>VALUES('08801729','ClientRequests.aspx', 'USER', '01', '08', 'ABDUL', SYSDATE, '10.6.100.63');</v>
      </c>
      <c r="AG32" s="12" t="str">
        <f t="shared" si="14"/>
        <v>INSERT INTO sy_perm_list (USER_CD, OPT_CD, ACCESS_TYPE, BRANCH_CODE, CLASS_CODE, ENT_BY, ENT_DATE, ENT_BY_IP)</v>
      </c>
      <c r="AH32" s="12" t="str">
        <f t="shared" si="15"/>
        <v>VALUES('08801729','HealthLife.aspx', 'USER', '01', '08', 'ABDUL', SYSDATE, '10.6.100.63');</v>
      </c>
      <c r="AI32" s="12" t="str">
        <f t="shared" si="16"/>
        <v>INSERT INTO sy_perm_list (USER_CD, OPT_CD, ACCESS_TYPE, BRANCH_CODE, CLASS_CODE, ENT_BY, ENT_DATE, ENT_BY_IP)</v>
      </c>
      <c r="AJ32" s="12" t="str">
        <f t="shared" si="17"/>
        <v>VALUES('08801729','IpdClaim.aspx', 'USER', '01', '08', 'ABDUL', SYSDATE, '10.6.100.63');</v>
      </c>
      <c r="AK32" s="12" t="str">
        <f t="shared" si="18"/>
        <v>INSERT INTO sy_perm_list (USER_CD, OPT_CD, ACCESS_TYPE, BRANCH_CODE, CLASS_CODE, ENT_BY, ENT_DATE, ENT_BY_IP)</v>
      </c>
      <c r="AL32" s="12" t="str">
        <f t="shared" si="19"/>
        <v>VALUES('08801729','OpdClaim.aspx', 'USER', '01', '08', 'ABDUL', SYSDATE, '10.6.100.63');</v>
      </c>
      <c r="AM32" s="12" t="str">
        <f t="shared" si="20"/>
        <v>INSERT INTO sy_perm_list (USER_CD, OPT_CD, ACCESS_TYPE, BRANCH_CODE, CLASS_CODE, ENT_BY, ENT_DATE, ENT_BY_IP)</v>
      </c>
      <c r="AN32" s="12" t="str">
        <f t="shared" si="21"/>
        <v>VALUES('08801729','RequestDetails.aspx', 'USER', '01', '08', 'ABDUL', SYSDATE, '10.6.100.63');</v>
      </c>
      <c r="AO32" s="12" t="str">
        <f t="shared" si="22"/>
        <v>INSERT INTO sy_perm_list (USER_CD, OPT_CD, ACCESS_TYPE, BRANCH_CODE, CLASS_CODE, ENT_BY, ENT_DATE, ENT_BY_IP)</v>
      </c>
      <c r="AP32" s="12" t="str">
        <f t="shared" si="23"/>
        <v>VALUES('08801729','TodaysRequest.aspx', 'USER', '01', '08', 'ABDUL', SYSDATE, '10.6.100.63');</v>
      </c>
    </row>
    <row r="33" spans="1:42" s="6" customFormat="1" ht="76.5" x14ac:dyDescent="0.2">
      <c r="A33" s="4">
        <v>29</v>
      </c>
      <c r="B33" s="5" t="s">
        <v>686</v>
      </c>
      <c r="C33" s="5">
        <v>9000257</v>
      </c>
      <c r="D33" s="6" t="s">
        <v>362</v>
      </c>
      <c r="E33" s="6" t="s">
        <v>314</v>
      </c>
      <c r="F33" s="5" t="s">
        <v>287</v>
      </c>
      <c r="G33" s="6" t="s">
        <v>288</v>
      </c>
      <c r="H33" s="5" t="s">
        <v>649</v>
      </c>
      <c r="I33" s="5">
        <v>651</v>
      </c>
      <c r="J33" s="5" t="s">
        <v>377</v>
      </c>
      <c r="K33" s="6" t="s">
        <v>247</v>
      </c>
      <c r="L33" s="6" t="s">
        <v>241</v>
      </c>
      <c r="M33" s="6" t="s">
        <v>242</v>
      </c>
      <c r="N33" s="7">
        <v>44119</v>
      </c>
      <c r="O33" s="7">
        <v>44075</v>
      </c>
      <c r="P33" s="7">
        <v>44439</v>
      </c>
      <c r="Q33" s="8">
        <v>7</v>
      </c>
      <c r="R33" s="8">
        <v>11</v>
      </c>
      <c r="S33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33" s="12" t="str">
        <f t="shared" si="1"/>
        <v>VALUES('08800849','CORRIDOR LOGISTICS (PVT) LIMITED','Salaam@123','Y','N',sysdate,'016', 'C', 'Client', 'faraz.khan@njfk.org','01','B', '08', 'ABDUL', sysdate, '10.6.100.63', '08800849');</v>
      </c>
      <c r="U33" s="12" t="str">
        <f t="shared" si="2"/>
        <v>INSERT INTO sy_user_branches (USER_CD, BRANCH_CODE, CLASS_CODE, ENT_BY, ENT_DATE, ENT_BY_IP)</v>
      </c>
      <c r="V33" s="12" t="str">
        <f t="shared" si="3"/>
        <v>values('08800849','01', '08', 'ABDUL', sysdate, '10.6.100.63');</v>
      </c>
      <c r="W33" s="12" t="str">
        <f t="shared" si="4"/>
        <v>INSERT INTO sy_perm_list (USER_CD, OPT_CD, ACCESS_TYPE, BRANCH_CODE, CLASS_CODE, ENT_BY, ENT_DATE, ENT_BY_IP)</v>
      </c>
      <c r="X33" s="12" t="str">
        <f t="shared" si="5"/>
        <v>VALUES('08800849','ClaimComments.aspx', 'USER', '01', '08', 'ABDUL', SYSDATE, '10.6.100.63');</v>
      </c>
      <c r="Y33" s="12" t="str">
        <f t="shared" si="6"/>
        <v>INSERT INTO sy_perm_list (USER_CD, OPT_CD, ACCESS_TYPE, BRANCH_CODE, CLASS_CODE, ENT_BY, ENT_DATE, ENT_BY_IP)</v>
      </c>
      <c r="Z33" s="12" t="str">
        <f t="shared" si="7"/>
        <v>VALUES('08800849','ClaimDocs.aspx', 'USER', '01', '08', 'ABDUL', SYSDATE, '10.6.100.63');</v>
      </c>
      <c r="AA33" s="12" t="str">
        <f t="shared" si="8"/>
        <v>INSERT INTO sy_perm_list (USER_CD, OPT_CD, ACCESS_TYPE, BRANCH_CODE, CLASS_CODE, ENT_BY, ENT_DATE, ENT_BY_IP)</v>
      </c>
      <c r="AB33" s="12" t="str">
        <f t="shared" si="9"/>
        <v>VALUES('08800849','Client.aspx', 'USER', '01', '08', 'ABDUL', SYSDATE, '10.6.100.63');</v>
      </c>
      <c r="AC33" s="12" t="str">
        <f t="shared" si="10"/>
        <v>INSERT INTO sy_perm_list (USER_CD, OPT_CD, ACCESS_TYPE, BRANCH_CODE, CLASS_CODE, ENT_BY, ENT_DATE, ENT_BY_IP)</v>
      </c>
      <c r="AD33" s="12" t="str">
        <f t="shared" si="11"/>
        <v>VALUES('08800849','ClientReports.aspx', 'USER', '01', '08', 'ABDUL', SYSDATE, '10.6.100.63');</v>
      </c>
      <c r="AE33" s="12" t="str">
        <f t="shared" si="12"/>
        <v>INSERT INTO sy_perm_list (USER_CD, OPT_CD, ACCESS_TYPE, BRANCH_CODE, CLASS_CODE, ENT_BY, ENT_DATE, ENT_BY_IP)</v>
      </c>
      <c r="AF33" s="12" t="str">
        <f t="shared" si="13"/>
        <v>VALUES('08800849','ClientRequests.aspx', 'USER', '01', '08', 'ABDUL', SYSDATE, '10.6.100.63');</v>
      </c>
      <c r="AG33" s="12" t="str">
        <f t="shared" si="14"/>
        <v>INSERT INTO sy_perm_list (USER_CD, OPT_CD, ACCESS_TYPE, BRANCH_CODE, CLASS_CODE, ENT_BY, ENT_DATE, ENT_BY_IP)</v>
      </c>
      <c r="AH33" s="12" t="str">
        <f t="shared" si="15"/>
        <v>VALUES('08800849','HealthLife.aspx', 'USER', '01', '08', 'ABDUL', SYSDATE, '10.6.100.63');</v>
      </c>
      <c r="AI33" s="12" t="str">
        <f t="shared" si="16"/>
        <v>INSERT INTO sy_perm_list (USER_CD, OPT_CD, ACCESS_TYPE, BRANCH_CODE, CLASS_CODE, ENT_BY, ENT_DATE, ENT_BY_IP)</v>
      </c>
      <c r="AJ33" s="12" t="str">
        <f t="shared" si="17"/>
        <v>VALUES('08800849','IpdClaim.aspx', 'USER', '01', '08', 'ABDUL', SYSDATE, '10.6.100.63');</v>
      </c>
      <c r="AK33" s="12" t="str">
        <f t="shared" si="18"/>
        <v>INSERT INTO sy_perm_list (USER_CD, OPT_CD, ACCESS_TYPE, BRANCH_CODE, CLASS_CODE, ENT_BY, ENT_DATE, ENT_BY_IP)</v>
      </c>
      <c r="AL33" s="12" t="str">
        <f t="shared" si="19"/>
        <v>VALUES('08800849','OpdClaim.aspx', 'USER', '01', '08', 'ABDUL', SYSDATE, '10.6.100.63');</v>
      </c>
      <c r="AM33" s="12" t="str">
        <f t="shared" si="20"/>
        <v>INSERT INTO sy_perm_list (USER_CD, OPT_CD, ACCESS_TYPE, BRANCH_CODE, CLASS_CODE, ENT_BY, ENT_DATE, ENT_BY_IP)</v>
      </c>
      <c r="AN33" s="12" t="str">
        <f t="shared" si="21"/>
        <v>VALUES('08800849','RequestDetails.aspx', 'USER', '01', '08', 'ABDUL', SYSDATE, '10.6.100.63');</v>
      </c>
      <c r="AO33" s="12" t="str">
        <f t="shared" si="22"/>
        <v>INSERT INTO sy_perm_list (USER_CD, OPT_CD, ACCESS_TYPE, BRANCH_CODE, CLASS_CODE, ENT_BY, ENT_DATE, ENT_BY_IP)</v>
      </c>
      <c r="AP33" s="12" t="str">
        <f t="shared" si="23"/>
        <v>VALUES('08800849','TodaysRequest.aspx', 'USER', '01', '08', 'ABDUL', SYSDATE, '10.6.100.63');</v>
      </c>
    </row>
    <row r="34" spans="1:42" s="6" customFormat="1" ht="12.75" x14ac:dyDescent="0.2">
      <c r="A34" s="4">
        <v>30</v>
      </c>
      <c r="B34" s="5" t="s">
        <v>686</v>
      </c>
      <c r="C34" s="5"/>
      <c r="D34" s="6" t="s">
        <v>362</v>
      </c>
      <c r="F34" s="5"/>
      <c r="H34" s="5" t="s">
        <v>649</v>
      </c>
      <c r="I34" s="5">
        <v>654</v>
      </c>
      <c r="J34" s="5" t="s">
        <v>380</v>
      </c>
      <c r="K34" s="6" t="s">
        <v>240</v>
      </c>
      <c r="N34" s="7"/>
      <c r="O34" s="7"/>
      <c r="P34" s="7"/>
      <c r="Q34" s="8"/>
      <c r="R34" s="8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</row>
    <row r="35" spans="1:42" s="6" customFormat="1" ht="12.75" x14ac:dyDescent="0.2">
      <c r="A35" s="4">
        <v>31</v>
      </c>
      <c r="B35" s="5" t="s">
        <v>686</v>
      </c>
      <c r="C35" s="5"/>
      <c r="D35" s="6" t="s">
        <v>362</v>
      </c>
      <c r="F35" s="5"/>
      <c r="H35" s="5" t="s">
        <v>649</v>
      </c>
      <c r="I35" s="5">
        <v>650</v>
      </c>
      <c r="J35" s="5" t="s">
        <v>379</v>
      </c>
      <c r="K35" s="6" t="s">
        <v>243</v>
      </c>
      <c r="N35" s="7"/>
      <c r="O35" s="7"/>
      <c r="P35" s="7"/>
      <c r="Q35" s="8"/>
      <c r="R35" s="8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</row>
    <row r="36" spans="1:42" s="6" customFormat="1" ht="12.75" x14ac:dyDescent="0.2">
      <c r="A36" s="4">
        <v>32</v>
      </c>
      <c r="B36" s="5" t="s">
        <v>686</v>
      </c>
      <c r="C36" s="5"/>
      <c r="D36" s="6" t="s">
        <v>362</v>
      </c>
      <c r="F36" s="5"/>
      <c r="H36" s="5" t="s">
        <v>649</v>
      </c>
      <c r="I36" s="5">
        <v>649</v>
      </c>
      <c r="J36" s="5" t="s">
        <v>381</v>
      </c>
      <c r="K36" s="6" t="s">
        <v>244</v>
      </c>
      <c r="N36" s="7"/>
      <c r="O36" s="7"/>
      <c r="P36" s="7"/>
      <c r="Q36" s="8"/>
      <c r="R36" s="8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 spans="1:42" s="6" customFormat="1" ht="12.75" x14ac:dyDescent="0.2">
      <c r="A37" s="4">
        <v>33</v>
      </c>
      <c r="B37" s="5" t="s">
        <v>686</v>
      </c>
      <c r="C37" s="5"/>
      <c r="D37" s="6" t="s">
        <v>362</v>
      </c>
      <c r="F37" s="5"/>
      <c r="H37" s="5" t="s">
        <v>649</v>
      </c>
      <c r="I37" s="5">
        <v>653</v>
      </c>
      <c r="J37" s="5" t="s">
        <v>378</v>
      </c>
      <c r="K37" s="6" t="s">
        <v>245</v>
      </c>
      <c r="N37" s="7"/>
      <c r="O37" s="7"/>
      <c r="P37" s="7"/>
      <c r="Q37" s="8"/>
      <c r="R37" s="8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</row>
    <row r="38" spans="1:42" s="6" customFormat="1" ht="12.75" x14ac:dyDescent="0.2">
      <c r="A38" s="4">
        <v>34</v>
      </c>
      <c r="B38" s="5" t="s">
        <v>686</v>
      </c>
      <c r="C38" s="5"/>
      <c r="D38" s="6" t="s">
        <v>362</v>
      </c>
      <c r="F38" s="5"/>
      <c r="H38" s="5" t="s">
        <v>649</v>
      </c>
      <c r="I38" s="5">
        <v>652</v>
      </c>
      <c r="J38" s="5" t="s">
        <v>376</v>
      </c>
      <c r="K38" s="6" t="s">
        <v>246</v>
      </c>
      <c r="N38" s="7"/>
      <c r="O38" s="7"/>
      <c r="P38" s="7"/>
      <c r="Q38" s="8"/>
      <c r="R38" s="8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</row>
    <row r="39" spans="1:42" s="6" customFormat="1" ht="76.5" x14ac:dyDescent="0.2">
      <c r="A39" s="4">
        <v>35</v>
      </c>
      <c r="B39" s="5" t="s">
        <v>687</v>
      </c>
      <c r="C39" s="5">
        <v>9000241</v>
      </c>
      <c r="D39" s="6" t="s">
        <v>296</v>
      </c>
      <c r="E39" s="6" t="s">
        <v>290</v>
      </c>
      <c r="F39" s="5" t="s">
        <v>287</v>
      </c>
      <c r="G39" s="6" t="s">
        <v>288</v>
      </c>
      <c r="H39" s="5" t="s">
        <v>649</v>
      </c>
      <c r="I39" s="5">
        <v>731</v>
      </c>
      <c r="J39" s="5" t="s">
        <v>443</v>
      </c>
      <c r="K39" s="6" t="s">
        <v>256</v>
      </c>
      <c r="L39" s="6" t="s">
        <v>257</v>
      </c>
      <c r="M39" s="6" t="s">
        <v>258</v>
      </c>
      <c r="N39" s="7">
        <v>44202</v>
      </c>
      <c r="O39" s="7">
        <v>44197</v>
      </c>
      <c r="P39" s="7">
        <v>44561</v>
      </c>
      <c r="Q39" s="8">
        <v>30</v>
      </c>
      <c r="R39" s="8">
        <v>48</v>
      </c>
      <c r="S3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39" s="12" t="str">
        <f t="shared" si="1"/>
        <v>VALUES('08801700','COSTVEYORS (PRIVATE) LIMITED','Salaam@123','Y','N',sysdate,'016', 'C', 'Client', 'masood.ali@costveyors.com ','01','B', '08', 'ABDUL', sysdate, '10.6.100.63', '08801700');</v>
      </c>
      <c r="U39" s="12" t="str">
        <f t="shared" si="2"/>
        <v>INSERT INTO sy_user_branches (USER_CD, BRANCH_CODE, CLASS_CODE, ENT_BY, ENT_DATE, ENT_BY_IP)</v>
      </c>
      <c r="V39" s="12" t="str">
        <f t="shared" si="3"/>
        <v>values('08801700','01', '08', 'ABDUL', sysdate, '10.6.100.63');</v>
      </c>
      <c r="W39" s="12" t="str">
        <f t="shared" si="4"/>
        <v>INSERT INTO sy_perm_list (USER_CD, OPT_CD, ACCESS_TYPE, BRANCH_CODE, CLASS_CODE, ENT_BY, ENT_DATE, ENT_BY_IP)</v>
      </c>
      <c r="X39" s="12" t="str">
        <f t="shared" si="5"/>
        <v>VALUES('08801700','ClaimComments.aspx', 'USER', '01', '08', 'ABDUL', SYSDATE, '10.6.100.63');</v>
      </c>
      <c r="Y39" s="12" t="str">
        <f t="shared" si="6"/>
        <v>INSERT INTO sy_perm_list (USER_CD, OPT_CD, ACCESS_TYPE, BRANCH_CODE, CLASS_CODE, ENT_BY, ENT_DATE, ENT_BY_IP)</v>
      </c>
      <c r="Z39" s="12" t="str">
        <f t="shared" si="7"/>
        <v>VALUES('08801700','ClaimDocs.aspx', 'USER', '01', '08', 'ABDUL', SYSDATE, '10.6.100.63');</v>
      </c>
      <c r="AA39" s="12" t="str">
        <f t="shared" si="8"/>
        <v>INSERT INTO sy_perm_list (USER_CD, OPT_CD, ACCESS_TYPE, BRANCH_CODE, CLASS_CODE, ENT_BY, ENT_DATE, ENT_BY_IP)</v>
      </c>
      <c r="AB39" s="12" t="str">
        <f t="shared" si="9"/>
        <v>VALUES('08801700','Client.aspx', 'USER', '01', '08', 'ABDUL', SYSDATE, '10.6.100.63');</v>
      </c>
      <c r="AC39" s="12" t="str">
        <f t="shared" si="10"/>
        <v>INSERT INTO sy_perm_list (USER_CD, OPT_CD, ACCESS_TYPE, BRANCH_CODE, CLASS_CODE, ENT_BY, ENT_DATE, ENT_BY_IP)</v>
      </c>
      <c r="AD39" s="12" t="str">
        <f t="shared" si="11"/>
        <v>VALUES('08801700','ClientReports.aspx', 'USER', '01', '08', 'ABDUL', SYSDATE, '10.6.100.63');</v>
      </c>
      <c r="AE39" s="12" t="str">
        <f t="shared" si="12"/>
        <v>INSERT INTO sy_perm_list (USER_CD, OPT_CD, ACCESS_TYPE, BRANCH_CODE, CLASS_CODE, ENT_BY, ENT_DATE, ENT_BY_IP)</v>
      </c>
      <c r="AF39" s="12" t="str">
        <f t="shared" si="13"/>
        <v>VALUES('08801700','ClientRequests.aspx', 'USER', '01', '08', 'ABDUL', SYSDATE, '10.6.100.63');</v>
      </c>
      <c r="AG39" s="12" t="str">
        <f t="shared" si="14"/>
        <v>INSERT INTO sy_perm_list (USER_CD, OPT_CD, ACCESS_TYPE, BRANCH_CODE, CLASS_CODE, ENT_BY, ENT_DATE, ENT_BY_IP)</v>
      </c>
      <c r="AH39" s="12" t="str">
        <f t="shared" si="15"/>
        <v>VALUES('08801700','HealthLife.aspx', 'USER', '01', '08', 'ABDUL', SYSDATE, '10.6.100.63');</v>
      </c>
      <c r="AI39" s="12" t="str">
        <f t="shared" si="16"/>
        <v>INSERT INTO sy_perm_list (USER_CD, OPT_CD, ACCESS_TYPE, BRANCH_CODE, CLASS_CODE, ENT_BY, ENT_DATE, ENT_BY_IP)</v>
      </c>
      <c r="AJ39" s="12" t="str">
        <f t="shared" si="17"/>
        <v>VALUES('08801700','IpdClaim.aspx', 'USER', '01', '08', 'ABDUL', SYSDATE, '10.6.100.63');</v>
      </c>
      <c r="AK39" s="12" t="str">
        <f t="shared" si="18"/>
        <v>INSERT INTO sy_perm_list (USER_CD, OPT_CD, ACCESS_TYPE, BRANCH_CODE, CLASS_CODE, ENT_BY, ENT_DATE, ENT_BY_IP)</v>
      </c>
      <c r="AL39" s="12" t="str">
        <f t="shared" si="19"/>
        <v>VALUES('08801700','OpdClaim.aspx', 'USER', '01', '08', 'ABDUL', SYSDATE, '10.6.100.63');</v>
      </c>
      <c r="AM39" s="12" t="str">
        <f t="shared" si="20"/>
        <v>INSERT INTO sy_perm_list (USER_CD, OPT_CD, ACCESS_TYPE, BRANCH_CODE, CLASS_CODE, ENT_BY, ENT_DATE, ENT_BY_IP)</v>
      </c>
      <c r="AN39" s="12" t="str">
        <f t="shared" si="21"/>
        <v>VALUES('08801700','RequestDetails.aspx', 'USER', '01', '08', 'ABDUL', SYSDATE, '10.6.100.63');</v>
      </c>
      <c r="AO39" s="12" t="str">
        <f t="shared" si="22"/>
        <v>INSERT INTO sy_perm_list (USER_CD, OPT_CD, ACCESS_TYPE, BRANCH_CODE, CLASS_CODE, ENT_BY, ENT_DATE, ENT_BY_IP)</v>
      </c>
      <c r="AP39" s="12" t="str">
        <f t="shared" si="23"/>
        <v>VALUES('08801700','TodaysRequest.aspx', 'USER', '01', '08', 'ABDUL', SYSDATE, '10.6.100.63');</v>
      </c>
    </row>
    <row r="40" spans="1:42" s="6" customFormat="1" ht="76.5" x14ac:dyDescent="0.2">
      <c r="A40" s="4">
        <v>36</v>
      </c>
      <c r="B40" s="5" t="s">
        <v>688</v>
      </c>
      <c r="C40" s="5">
        <v>9000218</v>
      </c>
      <c r="D40" s="6" t="s">
        <v>310</v>
      </c>
      <c r="E40" s="6" t="s">
        <v>299</v>
      </c>
      <c r="F40" s="5" t="s">
        <v>287</v>
      </c>
      <c r="G40" s="6" t="s">
        <v>288</v>
      </c>
      <c r="H40" s="5" t="s">
        <v>649</v>
      </c>
      <c r="I40" s="5">
        <v>548</v>
      </c>
      <c r="J40" s="5" t="s">
        <v>316</v>
      </c>
      <c r="K40" s="6" t="s">
        <v>154</v>
      </c>
      <c r="L40" s="6" t="s">
        <v>151</v>
      </c>
      <c r="M40" s="6" t="s">
        <v>152</v>
      </c>
      <c r="N40" s="7">
        <v>44012</v>
      </c>
      <c r="O40" s="7">
        <v>43992</v>
      </c>
      <c r="P40" s="7">
        <v>44356</v>
      </c>
      <c r="Q40" s="8">
        <v>19</v>
      </c>
      <c r="R40" s="8">
        <v>37</v>
      </c>
      <c r="S4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0" s="12" t="str">
        <f t="shared" si="1"/>
        <v>VALUES('08801364','COVALENT (PVT.) LIMITED','Salaam@123','Y','N',sysdate,'016', 'C', 'Client', 'ambreen.ellam@access.net.pk ','01','B', '08', 'ABDUL', sysdate, '10.6.100.63', '08801364');</v>
      </c>
      <c r="U40" s="12" t="str">
        <f t="shared" si="2"/>
        <v>INSERT INTO sy_user_branches (USER_CD, BRANCH_CODE, CLASS_CODE, ENT_BY, ENT_DATE, ENT_BY_IP)</v>
      </c>
      <c r="V40" s="12" t="str">
        <f t="shared" si="3"/>
        <v>values('08801364','01', '08', 'ABDUL', sysdate, '10.6.100.63');</v>
      </c>
      <c r="W40" s="12" t="str">
        <f t="shared" si="4"/>
        <v>INSERT INTO sy_perm_list (USER_CD, OPT_CD, ACCESS_TYPE, BRANCH_CODE, CLASS_CODE, ENT_BY, ENT_DATE, ENT_BY_IP)</v>
      </c>
      <c r="X40" s="12" t="str">
        <f t="shared" si="5"/>
        <v>VALUES('08801364','ClaimComments.aspx', 'USER', '01', '08', 'ABDUL', SYSDATE, '10.6.100.63');</v>
      </c>
      <c r="Y40" s="12" t="str">
        <f t="shared" si="6"/>
        <v>INSERT INTO sy_perm_list (USER_CD, OPT_CD, ACCESS_TYPE, BRANCH_CODE, CLASS_CODE, ENT_BY, ENT_DATE, ENT_BY_IP)</v>
      </c>
      <c r="Z40" s="12" t="str">
        <f t="shared" si="7"/>
        <v>VALUES('08801364','ClaimDocs.aspx', 'USER', '01', '08', 'ABDUL', SYSDATE, '10.6.100.63');</v>
      </c>
      <c r="AA40" s="12" t="str">
        <f t="shared" si="8"/>
        <v>INSERT INTO sy_perm_list (USER_CD, OPT_CD, ACCESS_TYPE, BRANCH_CODE, CLASS_CODE, ENT_BY, ENT_DATE, ENT_BY_IP)</v>
      </c>
      <c r="AB40" s="12" t="str">
        <f t="shared" si="9"/>
        <v>VALUES('08801364','Client.aspx', 'USER', '01', '08', 'ABDUL', SYSDATE, '10.6.100.63');</v>
      </c>
      <c r="AC40" s="12" t="str">
        <f t="shared" si="10"/>
        <v>INSERT INTO sy_perm_list (USER_CD, OPT_CD, ACCESS_TYPE, BRANCH_CODE, CLASS_CODE, ENT_BY, ENT_DATE, ENT_BY_IP)</v>
      </c>
      <c r="AD40" s="12" t="str">
        <f t="shared" si="11"/>
        <v>VALUES('08801364','ClientReports.aspx', 'USER', '01', '08', 'ABDUL', SYSDATE, '10.6.100.63');</v>
      </c>
      <c r="AE40" s="12" t="str">
        <f t="shared" si="12"/>
        <v>INSERT INTO sy_perm_list (USER_CD, OPT_CD, ACCESS_TYPE, BRANCH_CODE, CLASS_CODE, ENT_BY, ENT_DATE, ENT_BY_IP)</v>
      </c>
      <c r="AF40" s="12" t="str">
        <f t="shared" si="13"/>
        <v>VALUES('08801364','ClientRequests.aspx', 'USER', '01', '08', 'ABDUL', SYSDATE, '10.6.100.63');</v>
      </c>
      <c r="AG40" s="12" t="str">
        <f t="shared" si="14"/>
        <v>INSERT INTO sy_perm_list (USER_CD, OPT_CD, ACCESS_TYPE, BRANCH_CODE, CLASS_CODE, ENT_BY, ENT_DATE, ENT_BY_IP)</v>
      </c>
      <c r="AH40" s="12" t="str">
        <f t="shared" si="15"/>
        <v>VALUES('08801364','HealthLife.aspx', 'USER', '01', '08', 'ABDUL', SYSDATE, '10.6.100.63');</v>
      </c>
      <c r="AI40" s="12" t="str">
        <f t="shared" si="16"/>
        <v>INSERT INTO sy_perm_list (USER_CD, OPT_CD, ACCESS_TYPE, BRANCH_CODE, CLASS_CODE, ENT_BY, ENT_DATE, ENT_BY_IP)</v>
      </c>
      <c r="AJ40" s="12" t="str">
        <f t="shared" si="17"/>
        <v>VALUES('08801364','IpdClaim.aspx', 'USER', '01', '08', 'ABDUL', SYSDATE, '10.6.100.63');</v>
      </c>
      <c r="AK40" s="12" t="str">
        <f t="shared" si="18"/>
        <v>INSERT INTO sy_perm_list (USER_CD, OPT_CD, ACCESS_TYPE, BRANCH_CODE, CLASS_CODE, ENT_BY, ENT_DATE, ENT_BY_IP)</v>
      </c>
      <c r="AL40" s="12" t="str">
        <f t="shared" si="19"/>
        <v>VALUES('08801364','OpdClaim.aspx', 'USER', '01', '08', 'ABDUL', SYSDATE, '10.6.100.63');</v>
      </c>
      <c r="AM40" s="12" t="str">
        <f t="shared" si="20"/>
        <v>INSERT INTO sy_perm_list (USER_CD, OPT_CD, ACCESS_TYPE, BRANCH_CODE, CLASS_CODE, ENT_BY, ENT_DATE, ENT_BY_IP)</v>
      </c>
      <c r="AN40" s="12" t="str">
        <f t="shared" si="21"/>
        <v>VALUES('08801364','RequestDetails.aspx', 'USER', '01', '08', 'ABDUL', SYSDATE, '10.6.100.63');</v>
      </c>
      <c r="AO40" s="12" t="str">
        <f t="shared" si="22"/>
        <v>INSERT INTO sy_perm_list (USER_CD, OPT_CD, ACCESS_TYPE, BRANCH_CODE, CLASS_CODE, ENT_BY, ENT_DATE, ENT_BY_IP)</v>
      </c>
      <c r="AP40" s="12" t="str">
        <f t="shared" si="23"/>
        <v>VALUES('08801364','TodaysRequest.aspx', 'USER', '01', '08', 'ABDUL', SYSDATE, '10.6.100.63');</v>
      </c>
    </row>
    <row r="41" spans="1:42" s="6" customFormat="1" ht="15" x14ac:dyDescent="0.25">
      <c r="A41" s="4"/>
      <c r="B41" s="5" t="s">
        <v>688</v>
      </c>
      <c r="C41" s="5">
        <v>9000218</v>
      </c>
      <c r="D41" s="6" t="s">
        <v>310</v>
      </c>
      <c r="E41" s="6" t="s">
        <v>299</v>
      </c>
      <c r="F41" s="5" t="s">
        <v>287</v>
      </c>
      <c r="G41" s="6" t="s">
        <v>288</v>
      </c>
      <c r="H41" s="5" t="s">
        <v>649</v>
      </c>
      <c r="I41" s="5">
        <v>1049</v>
      </c>
      <c r="J41" s="36" t="s">
        <v>1003</v>
      </c>
      <c r="K41" s="6" t="s">
        <v>154</v>
      </c>
      <c r="L41" s="6" t="s">
        <v>151</v>
      </c>
      <c r="M41" s="6" t="s">
        <v>152</v>
      </c>
      <c r="N41" s="7"/>
      <c r="O41" s="7"/>
      <c r="P41" s="7"/>
      <c r="Q41" s="8"/>
      <c r="R41" s="8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</row>
    <row r="42" spans="1:42" s="6" customFormat="1" ht="76.5" x14ac:dyDescent="0.2">
      <c r="A42" s="4">
        <v>37</v>
      </c>
      <c r="B42" s="5" t="s">
        <v>689</v>
      </c>
      <c r="C42" s="5">
        <v>9000289</v>
      </c>
      <c r="D42" s="6" t="s">
        <v>387</v>
      </c>
      <c r="E42" s="6" t="s">
        <v>290</v>
      </c>
      <c r="F42" s="5" t="s">
        <v>287</v>
      </c>
      <c r="G42" s="6" t="s">
        <v>288</v>
      </c>
      <c r="H42" s="5" t="s">
        <v>649</v>
      </c>
      <c r="I42" s="5">
        <v>669</v>
      </c>
      <c r="J42" s="5" t="s">
        <v>393</v>
      </c>
      <c r="K42" s="6" t="s">
        <v>85</v>
      </c>
      <c r="L42" s="6" t="s">
        <v>55</v>
      </c>
      <c r="M42" s="6" t="s">
        <v>56</v>
      </c>
      <c r="N42" s="7">
        <v>44158</v>
      </c>
      <c r="O42" s="7">
        <v>44155</v>
      </c>
      <c r="P42" s="7">
        <v>44519</v>
      </c>
      <c r="Q42" s="8">
        <v>12</v>
      </c>
      <c r="R42" s="8">
        <v>34</v>
      </c>
      <c r="S42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2" s="12" t="str">
        <f t="shared" si="1"/>
        <v>VALUES('08801641','CRESCENTIC DIGITAL (PRIVATE) LIMITED','Salaam@123','Y','N',sysdate,'016', 'C', 'Client', 'info@crescenticdigital.com','01','B', '08', 'ABDUL', sysdate, '10.6.100.63', '08801641');</v>
      </c>
      <c r="U42" s="12" t="str">
        <f t="shared" si="2"/>
        <v>INSERT INTO sy_user_branches (USER_CD, BRANCH_CODE, CLASS_CODE, ENT_BY, ENT_DATE, ENT_BY_IP)</v>
      </c>
      <c r="V42" s="12" t="str">
        <f t="shared" si="3"/>
        <v>values('08801641','01', '08', 'ABDUL', sysdate, '10.6.100.63');</v>
      </c>
      <c r="W42" s="12" t="str">
        <f t="shared" si="4"/>
        <v>INSERT INTO sy_perm_list (USER_CD, OPT_CD, ACCESS_TYPE, BRANCH_CODE, CLASS_CODE, ENT_BY, ENT_DATE, ENT_BY_IP)</v>
      </c>
      <c r="X42" s="12" t="str">
        <f t="shared" si="5"/>
        <v>VALUES('08801641','ClaimComments.aspx', 'USER', '01', '08', 'ABDUL', SYSDATE, '10.6.100.63');</v>
      </c>
      <c r="Y42" s="12" t="str">
        <f t="shared" si="6"/>
        <v>INSERT INTO sy_perm_list (USER_CD, OPT_CD, ACCESS_TYPE, BRANCH_CODE, CLASS_CODE, ENT_BY, ENT_DATE, ENT_BY_IP)</v>
      </c>
      <c r="Z42" s="12" t="str">
        <f t="shared" si="7"/>
        <v>VALUES('08801641','ClaimDocs.aspx', 'USER', '01', '08', 'ABDUL', SYSDATE, '10.6.100.63');</v>
      </c>
      <c r="AA42" s="12" t="str">
        <f t="shared" si="8"/>
        <v>INSERT INTO sy_perm_list (USER_CD, OPT_CD, ACCESS_TYPE, BRANCH_CODE, CLASS_CODE, ENT_BY, ENT_DATE, ENT_BY_IP)</v>
      </c>
      <c r="AB42" s="12" t="str">
        <f t="shared" si="9"/>
        <v>VALUES('08801641','Client.aspx', 'USER', '01', '08', 'ABDUL', SYSDATE, '10.6.100.63');</v>
      </c>
      <c r="AC42" s="12" t="str">
        <f t="shared" si="10"/>
        <v>INSERT INTO sy_perm_list (USER_CD, OPT_CD, ACCESS_TYPE, BRANCH_CODE, CLASS_CODE, ENT_BY, ENT_DATE, ENT_BY_IP)</v>
      </c>
      <c r="AD42" s="12" t="str">
        <f t="shared" si="11"/>
        <v>VALUES('08801641','ClientReports.aspx', 'USER', '01', '08', 'ABDUL', SYSDATE, '10.6.100.63');</v>
      </c>
      <c r="AE42" s="12" t="str">
        <f t="shared" si="12"/>
        <v>INSERT INTO sy_perm_list (USER_CD, OPT_CD, ACCESS_TYPE, BRANCH_CODE, CLASS_CODE, ENT_BY, ENT_DATE, ENT_BY_IP)</v>
      </c>
      <c r="AF42" s="12" t="str">
        <f t="shared" si="13"/>
        <v>VALUES('08801641','ClientRequests.aspx', 'USER', '01', '08', 'ABDUL', SYSDATE, '10.6.100.63');</v>
      </c>
      <c r="AG42" s="12" t="str">
        <f t="shared" si="14"/>
        <v>INSERT INTO sy_perm_list (USER_CD, OPT_CD, ACCESS_TYPE, BRANCH_CODE, CLASS_CODE, ENT_BY, ENT_DATE, ENT_BY_IP)</v>
      </c>
      <c r="AH42" s="12" t="str">
        <f t="shared" si="15"/>
        <v>VALUES('08801641','HealthLife.aspx', 'USER', '01', '08', 'ABDUL', SYSDATE, '10.6.100.63');</v>
      </c>
      <c r="AI42" s="12" t="str">
        <f t="shared" si="16"/>
        <v>INSERT INTO sy_perm_list (USER_CD, OPT_CD, ACCESS_TYPE, BRANCH_CODE, CLASS_CODE, ENT_BY, ENT_DATE, ENT_BY_IP)</v>
      </c>
      <c r="AJ42" s="12" t="str">
        <f t="shared" si="17"/>
        <v>VALUES('08801641','IpdClaim.aspx', 'USER', '01', '08', 'ABDUL', SYSDATE, '10.6.100.63');</v>
      </c>
      <c r="AK42" s="12" t="str">
        <f t="shared" si="18"/>
        <v>INSERT INTO sy_perm_list (USER_CD, OPT_CD, ACCESS_TYPE, BRANCH_CODE, CLASS_CODE, ENT_BY, ENT_DATE, ENT_BY_IP)</v>
      </c>
      <c r="AL42" s="12" t="str">
        <f t="shared" si="19"/>
        <v>VALUES('08801641','OpdClaim.aspx', 'USER', '01', '08', 'ABDUL', SYSDATE, '10.6.100.63');</v>
      </c>
      <c r="AM42" s="12" t="str">
        <f t="shared" si="20"/>
        <v>INSERT INTO sy_perm_list (USER_CD, OPT_CD, ACCESS_TYPE, BRANCH_CODE, CLASS_CODE, ENT_BY, ENT_DATE, ENT_BY_IP)</v>
      </c>
      <c r="AN42" s="12" t="str">
        <f t="shared" si="21"/>
        <v>VALUES('08801641','RequestDetails.aspx', 'USER', '01', '08', 'ABDUL', SYSDATE, '10.6.100.63');</v>
      </c>
      <c r="AO42" s="12" t="str">
        <f t="shared" si="22"/>
        <v>INSERT INTO sy_perm_list (USER_CD, OPT_CD, ACCESS_TYPE, BRANCH_CODE, CLASS_CODE, ENT_BY, ENT_DATE, ENT_BY_IP)</v>
      </c>
      <c r="AP42" s="12" t="str">
        <f t="shared" si="23"/>
        <v>VALUES('08801641','TodaysRequest.aspx', 'USER', '01', '08', 'ABDUL', SYSDATE, '10.6.100.63');</v>
      </c>
    </row>
    <row r="43" spans="1:42" s="6" customFormat="1" ht="13.5" thickBot="1" x14ac:dyDescent="0.25">
      <c r="A43" s="4"/>
      <c r="B43" s="5" t="s">
        <v>689</v>
      </c>
      <c r="C43" s="5">
        <v>9000289</v>
      </c>
      <c r="D43" s="6" t="s">
        <v>387</v>
      </c>
      <c r="E43" s="6" t="s">
        <v>290</v>
      </c>
      <c r="F43" s="5" t="s">
        <v>287</v>
      </c>
      <c r="G43" s="6" t="s">
        <v>288</v>
      </c>
      <c r="H43" s="5" t="s">
        <v>649</v>
      </c>
      <c r="I43" s="39">
        <v>1258</v>
      </c>
      <c r="J43" s="40" t="s">
        <v>1248</v>
      </c>
      <c r="K43" s="6" t="s">
        <v>85</v>
      </c>
      <c r="L43" s="6" t="s">
        <v>55</v>
      </c>
      <c r="M43" s="6" t="s">
        <v>56</v>
      </c>
      <c r="N43" s="7"/>
      <c r="O43" s="7"/>
      <c r="P43" s="7"/>
      <c r="Q43" s="8"/>
      <c r="R43" s="8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</row>
    <row r="44" spans="1:42" s="6" customFormat="1" ht="76.5" x14ac:dyDescent="0.2">
      <c r="A44" s="4">
        <v>38</v>
      </c>
      <c r="B44" s="5" t="s">
        <v>690</v>
      </c>
      <c r="C44" s="5">
        <v>9000244</v>
      </c>
      <c r="D44" s="6" t="s">
        <v>337</v>
      </c>
      <c r="E44" s="6" t="s">
        <v>290</v>
      </c>
      <c r="F44" s="5" t="s">
        <v>287</v>
      </c>
      <c r="G44" s="6" t="s">
        <v>288</v>
      </c>
      <c r="H44" s="5" t="s">
        <v>649</v>
      </c>
      <c r="I44" s="5">
        <v>711</v>
      </c>
      <c r="J44" s="5" t="s">
        <v>420</v>
      </c>
      <c r="K44" s="6" t="s">
        <v>253</v>
      </c>
      <c r="L44" s="6" t="s">
        <v>254</v>
      </c>
      <c r="M44" s="6" t="s">
        <v>255</v>
      </c>
      <c r="N44" s="7">
        <v>44195</v>
      </c>
      <c r="O44" s="7">
        <v>44175</v>
      </c>
      <c r="P44" s="7">
        <v>44539</v>
      </c>
      <c r="Q44" s="8">
        <v>15</v>
      </c>
      <c r="R44" s="8">
        <v>53</v>
      </c>
      <c r="S4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4" s="12" t="str">
        <f t="shared" si="1"/>
        <v>VALUES('08801689','CURVE TECHNOLOGIES (PRIVATE) LIMITED','Salaam@123','Y','N',sysdate,'016', 'C', 'Client', 'naveed.nisar@curvetechnologies.net ','01','B', '08', 'ABDUL', sysdate, '10.6.100.63', '08801689');</v>
      </c>
      <c r="U44" s="12" t="str">
        <f t="shared" si="2"/>
        <v>INSERT INTO sy_user_branches (USER_CD, BRANCH_CODE, CLASS_CODE, ENT_BY, ENT_DATE, ENT_BY_IP)</v>
      </c>
      <c r="V44" s="12" t="str">
        <f t="shared" si="3"/>
        <v>values('08801689','01', '08', 'ABDUL', sysdate, '10.6.100.63');</v>
      </c>
      <c r="W44" s="12" t="str">
        <f t="shared" si="4"/>
        <v>INSERT INTO sy_perm_list (USER_CD, OPT_CD, ACCESS_TYPE, BRANCH_CODE, CLASS_CODE, ENT_BY, ENT_DATE, ENT_BY_IP)</v>
      </c>
      <c r="X44" s="12" t="str">
        <f t="shared" si="5"/>
        <v>VALUES('08801689','ClaimComments.aspx', 'USER', '01', '08', 'ABDUL', SYSDATE, '10.6.100.63');</v>
      </c>
      <c r="Y44" s="12" t="str">
        <f t="shared" si="6"/>
        <v>INSERT INTO sy_perm_list (USER_CD, OPT_CD, ACCESS_TYPE, BRANCH_CODE, CLASS_CODE, ENT_BY, ENT_DATE, ENT_BY_IP)</v>
      </c>
      <c r="Z44" s="12" t="str">
        <f t="shared" si="7"/>
        <v>VALUES('08801689','ClaimDocs.aspx', 'USER', '01', '08', 'ABDUL', SYSDATE, '10.6.100.63');</v>
      </c>
      <c r="AA44" s="12" t="str">
        <f t="shared" si="8"/>
        <v>INSERT INTO sy_perm_list (USER_CD, OPT_CD, ACCESS_TYPE, BRANCH_CODE, CLASS_CODE, ENT_BY, ENT_DATE, ENT_BY_IP)</v>
      </c>
      <c r="AB44" s="12" t="str">
        <f t="shared" si="9"/>
        <v>VALUES('08801689','Client.aspx', 'USER', '01', '08', 'ABDUL', SYSDATE, '10.6.100.63');</v>
      </c>
      <c r="AC44" s="12" t="str">
        <f t="shared" si="10"/>
        <v>INSERT INTO sy_perm_list (USER_CD, OPT_CD, ACCESS_TYPE, BRANCH_CODE, CLASS_CODE, ENT_BY, ENT_DATE, ENT_BY_IP)</v>
      </c>
      <c r="AD44" s="12" t="str">
        <f t="shared" si="11"/>
        <v>VALUES('08801689','ClientReports.aspx', 'USER', '01', '08', 'ABDUL', SYSDATE, '10.6.100.63');</v>
      </c>
      <c r="AE44" s="12" t="str">
        <f t="shared" si="12"/>
        <v>INSERT INTO sy_perm_list (USER_CD, OPT_CD, ACCESS_TYPE, BRANCH_CODE, CLASS_CODE, ENT_BY, ENT_DATE, ENT_BY_IP)</v>
      </c>
      <c r="AF44" s="12" t="str">
        <f t="shared" si="13"/>
        <v>VALUES('08801689','ClientRequests.aspx', 'USER', '01', '08', 'ABDUL', SYSDATE, '10.6.100.63');</v>
      </c>
      <c r="AG44" s="12" t="str">
        <f t="shared" si="14"/>
        <v>INSERT INTO sy_perm_list (USER_CD, OPT_CD, ACCESS_TYPE, BRANCH_CODE, CLASS_CODE, ENT_BY, ENT_DATE, ENT_BY_IP)</v>
      </c>
      <c r="AH44" s="12" t="str">
        <f t="shared" si="15"/>
        <v>VALUES('08801689','HealthLife.aspx', 'USER', '01', '08', 'ABDUL', SYSDATE, '10.6.100.63');</v>
      </c>
      <c r="AI44" s="12" t="str">
        <f t="shared" si="16"/>
        <v>INSERT INTO sy_perm_list (USER_CD, OPT_CD, ACCESS_TYPE, BRANCH_CODE, CLASS_CODE, ENT_BY, ENT_DATE, ENT_BY_IP)</v>
      </c>
      <c r="AJ44" s="12" t="str">
        <f t="shared" si="17"/>
        <v>VALUES('08801689','IpdClaim.aspx', 'USER', '01', '08', 'ABDUL', SYSDATE, '10.6.100.63');</v>
      </c>
      <c r="AK44" s="12" t="str">
        <f t="shared" si="18"/>
        <v>INSERT INTO sy_perm_list (USER_CD, OPT_CD, ACCESS_TYPE, BRANCH_CODE, CLASS_CODE, ENT_BY, ENT_DATE, ENT_BY_IP)</v>
      </c>
      <c r="AL44" s="12" t="str">
        <f t="shared" si="19"/>
        <v>VALUES('08801689','OpdClaim.aspx', 'USER', '01', '08', 'ABDUL', SYSDATE, '10.6.100.63');</v>
      </c>
      <c r="AM44" s="12" t="str">
        <f t="shared" si="20"/>
        <v>INSERT INTO sy_perm_list (USER_CD, OPT_CD, ACCESS_TYPE, BRANCH_CODE, CLASS_CODE, ENT_BY, ENT_DATE, ENT_BY_IP)</v>
      </c>
      <c r="AN44" s="12" t="str">
        <f t="shared" si="21"/>
        <v>VALUES('08801689','RequestDetails.aspx', 'USER', '01', '08', 'ABDUL', SYSDATE, '10.6.100.63');</v>
      </c>
      <c r="AO44" s="12" t="str">
        <f t="shared" si="22"/>
        <v>INSERT INTO sy_perm_list (USER_CD, OPT_CD, ACCESS_TYPE, BRANCH_CODE, CLASS_CODE, ENT_BY, ENT_DATE, ENT_BY_IP)</v>
      </c>
      <c r="AP44" s="12" t="str">
        <f t="shared" si="23"/>
        <v>VALUES('08801689','TodaysRequest.aspx', 'USER', '01', '08', 'ABDUL', SYSDATE, '10.6.100.63');</v>
      </c>
    </row>
    <row r="45" spans="1:42" s="6" customFormat="1" ht="76.5" x14ac:dyDescent="0.2">
      <c r="A45" s="4">
        <v>39</v>
      </c>
      <c r="B45" s="5" t="s">
        <v>691</v>
      </c>
      <c r="C45" s="5">
        <v>9000244</v>
      </c>
      <c r="D45" s="6" t="s">
        <v>337</v>
      </c>
      <c r="E45" s="6" t="s">
        <v>290</v>
      </c>
      <c r="F45" s="5" t="s">
        <v>287</v>
      </c>
      <c r="G45" s="6" t="s">
        <v>288</v>
      </c>
      <c r="H45" s="5" t="s">
        <v>649</v>
      </c>
      <c r="I45" s="5">
        <v>785</v>
      </c>
      <c r="J45" s="5" t="s">
        <v>506</v>
      </c>
      <c r="K45" s="6" t="s">
        <v>507</v>
      </c>
      <c r="L45" s="6" t="s">
        <v>575</v>
      </c>
      <c r="M45" s="6" t="s">
        <v>576</v>
      </c>
      <c r="N45" s="7">
        <v>44252</v>
      </c>
      <c r="O45" s="7">
        <v>44242</v>
      </c>
      <c r="P45" s="7">
        <v>44606</v>
      </c>
      <c r="Q45" s="8">
        <v>67</v>
      </c>
      <c r="R45" s="8">
        <v>98</v>
      </c>
      <c r="S45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5" s="12" t="str">
        <f t="shared" si="1"/>
        <v>VALUES('08801793','DABBAWALAS (PRIVATE) LIMITED','Salaam@123','Y','N',sysdate,'016', 'C', 'Client', 'asif.khan@dabbawalas.ltd','01','B', '08', 'ABDUL', sysdate, '10.6.100.63', '08801793');</v>
      </c>
      <c r="U45" s="12" t="str">
        <f t="shared" si="2"/>
        <v>INSERT INTO sy_user_branches (USER_CD, BRANCH_CODE, CLASS_CODE, ENT_BY, ENT_DATE, ENT_BY_IP)</v>
      </c>
      <c r="V45" s="12" t="str">
        <f t="shared" si="3"/>
        <v>values('08801793','01', '08', 'ABDUL', sysdate, '10.6.100.63');</v>
      </c>
      <c r="W45" s="12" t="str">
        <f t="shared" si="4"/>
        <v>INSERT INTO sy_perm_list (USER_CD, OPT_CD, ACCESS_TYPE, BRANCH_CODE, CLASS_CODE, ENT_BY, ENT_DATE, ENT_BY_IP)</v>
      </c>
      <c r="X45" s="12" t="str">
        <f t="shared" si="5"/>
        <v>VALUES('08801793','ClaimComments.aspx', 'USER', '01', '08', 'ABDUL', SYSDATE, '10.6.100.63');</v>
      </c>
      <c r="Y45" s="12" t="str">
        <f t="shared" si="6"/>
        <v>INSERT INTO sy_perm_list (USER_CD, OPT_CD, ACCESS_TYPE, BRANCH_CODE, CLASS_CODE, ENT_BY, ENT_DATE, ENT_BY_IP)</v>
      </c>
      <c r="Z45" s="12" t="str">
        <f t="shared" si="7"/>
        <v>VALUES('08801793','ClaimDocs.aspx', 'USER', '01', '08', 'ABDUL', SYSDATE, '10.6.100.63');</v>
      </c>
      <c r="AA45" s="12" t="str">
        <f t="shared" si="8"/>
        <v>INSERT INTO sy_perm_list (USER_CD, OPT_CD, ACCESS_TYPE, BRANCH_CODE, CLASS_CODE, ENT_BY, ENT_DATE, ENT_BY_IP)</v>
      </c>
      <c r="AB45" s="12" t="str">
        <f t="shared" si="9"/>
        <v>VALUES('08801793','Client.aspx', 'USER', '01', '08', 'ABDUL', SYSDATE, '10.6.100.63');</v>
      </c>
      <c r="AC45" s="12" t="str">
        <f t="shared" si="10"/>
        <v>INSERT INTO sy_perm_list (USER_CD, OPT_CD, ACCESS_TYPE, BRANCH_CODE, CLASS_CODE, ENT_BY, ENT_DATE, ENT_BY_IP)</v>
      </c>
      <c r="AD45" s="12" t="str">
        <f t="shared" si="11"/>
        <v>VALUES('08801793','ClientReports.aspx', 'USER', '01', '08', 'ABDUL', SYSDATE, '10.6.100.63');</v>
      </c>
      <c r="AE45" s="12" t="str">
        <f t="shared" si="12"/>
        <v>INSERT INTO sy_perm_list (USER_CD, OPT_CD, ACCESS_TYPE, BRANCH_CODE, CLASS_CODE, ENT_BY, ENT_DATE, ENT_BY_IP)</v>
      </c>
      <c r="AF45" s="12" t="str">
        <f t="shared" si="13"/>
        <v>VALUES('08801793','ClientRequests.aspx', 'USER', '01', '08', 'ABDUL', SYSDATE, '10.6.100.63');</v>
      </c>
      <c r="AG45" s="12" t="str">
        <f t="shared" si="14"/>
        <v>INSERT INTO sy_perm_list (USER_CD, OPT_CD, ACCESS_TYPE, BRANCH_CODE, CLASS_CODE, ENT_BY, ENT_DATE, ENT_BY_IP)</v>
      </c>
      <c r="AH45" s="12" t="str">
        <f t="shared" si="15"/>
        <v>VALUES('08801793','HealthLife.aspx', 'USER', '01', '08', 'ABDUL', SYSDATE, '10.6.100.63');</v>
      </c>
      <c r="AI45" s="12" t="str">
        <f t="shared" si="16"/>
        <v>INSERT INTO sy_perm_list (USER_CD, OPT_CD, ACCESS_TYPE, BRANCH_CODE, CLASS_CODE, ENT_BY, ENT_DATE, ENT_BY_IP)</v>
      </c>
      <c r="AJ45" s="12" t="str">
        <f t="shared" si="17"/>
        <v>VALUES('08801793','IpdClaim.aspx', 'USER', '01', '08', 'ABDUL', SYSDATE, '10.6.100.63');</v>
      </c>
      <c r="AK45" s="12" t="str">
        <f t="shared" si="18"/>
        <v>INSERT INTO sy_perm_list (USER_CD, OPT_CD, ACCESS_TYPE, BRANCH_CODE, CLASS_CODE, ENT_BY, ENT_DATE, ENT_BY_IP)</v>
      </c>
      <c r="AL45" s="12" t="str">
        <f t="shared" si="19"/>
        <v>VALUES('08801793','OpdClaim.aspx', 'USER', '01', '08', 'ABDUL', SYSDATE, '10.6.100.63');</v>
      </c>
      <c r="AM45" s="12" t="str">
        <f t="shared" si="20"/>
        <v>INSERT INTO sy_perm_list (USER_CD, OPT_CD, ACCESS_TYPE, BRANCH_CODE, CLASS_CODE, ENT_BY, ENT_DATE, ENT_BY_IP)</v>
      </c>
      <c r="AN45" s="12" t="str">
        <f t="shared" si="21"/>
        <v>VALUES('08801793','RequestDetails.aspx', 'USER', '01', '08', 'ABDUL', SYSDATE, '10.6.100.63');</v>
      </c>
      <c r="AO45" s="12" t="str">
        <f t="shared" si="22"/>
        <v>INSERT INTO sy_perm_list (USER_CD, OPT_CD, ACCESS_TYPE, BRANCH_CODE, CLASS_CODE, ENT_BY, ENT_DATE, ENT_BY_IP)</v>
      </c>
      <c r="AP45" s="12" t="str">
        <f t="shared" si="23"/>
        <v>VALUES('08801793','TodaysRequest.aspx', 'USER', '01', '08', 'ABDUL', SYSDATE, '10.6.100.63');</v>
      </c>
    </row>
    <row r="46" spans="1:42" s="6" customFormat="1" ht="76.5" x14ac:dyDescent="0.2">
      <c r="A46" s="4">
        <v>40</v>
      </c>
      <c r="B46" s="5" t="s">
        <v>692</v>
      </c>
      <c r="C46" s="5">
        <v>9000242</v>
      </c>
      <c r="D46" s="6" t="s">
        <v>385</v>
      </c>
      <c r="E46" s="6" t="s">
        <v>290</v>
      </c>
      <c r="F46" s="5" t="s">
        <v>287</v>
      </c>
      <c r="G46" s="6" t="s">
        <v>288</v>
      </c>
      <c r="H46" s="5" t="s">
        <v>649</v>
      </c>
      <c r="I46" s="5">
        <v>683</v>
      </c>
      <c r="J46" s="5" t="s">
        <v>408</v>
      </c>
      <c r="K46" s="6" t="s">
        <v>76</v>
      </c>
      <c r="L46" s="6" t="s">
        <v>41</v>
      </c>
      <c r="M46" s="6" t="s">
        <v>139</v>
      </c>
      <c r="N46" s="7">
        <v>44179</v>
      </c>
      <c r="O46" s="7">
        <v>44136</v>
      </c>
      <c r="P46" s="7">
        <v>44500</v>
      </c>
      <c r="Q46" s="8">
        <v>955</v>
      </c>
      <c r="R46" s="8">
        <v>1600</v>
      </c>
      <c r="S4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6" s="12" t="str">
        <f t="shared" si="1"/>
        <v>VALUES('08800990','DIGITONICS LABS (PVT) LTD','Salaam@123','Y','N',sysdate,'016', 'C', 'Client', 'abdul.latif@digitonics.com','01','B', '08', 'ABDUL', sysdate, '10.6.100.63', '08800990');</v>
      </c>
      <c r="U46" s="12" t="str">
        <f t="shared" si="2"/>
        <v>INSERT INTO sy_user_branches (USER_CD, BRANCH_CODE, CLASS_CODE, ENT_BY, ENT_DATE, ENT_BY_IP)</v>
      </c>
      <c r="V46" s="12" t="str">
        <f t="shared" si="3"/>
        <v>values('08800990','01', '08', 'ABDUL', sysdate, '10.6.100.63');</v>
      </c>
      <c r="W46" s="12" t="str">
        <f t="shared" si="4"/>
        <v>INSERT INTO sy_perm_list (USER_CD, OPT_CD, ACCESS_TYPE, BRANCH_CODE, CLASS_CODE, ENT_BY, ENT_DATE, ENT_BY_IP)</v>
      </c>
      <c r="X46" s="12" t="str">
        <f t="shared" si="5"/>
        <v>VALUES('08800990','ClaimComments.aspx', 'USER', '01', '08', 'ABDUL', SYSDATE, '10.6.100.63');</v>
      </c>
      <c r="Y46" s="12" t="str">
        <f t="shared" si="6"/>
        <v>INSERT INTO sy_perm_list (USER_CD, OPT_CD, ACCESS_TYPE, BRANCH_CODE, CLASS_CODE, ENT_BY, ENT_DATE, ENT_BY_IP)</v>
      </c>
      <c r="Z46" s="12" t="str">
        <f t="shared" si="7"/>
        <v>VALUES('08800990','ClaimDocs.aspx', 'USER', '01', '08', 'ABDUL', SYSDATE, '10.6.100.63');</v>
      </c>
      <c r="AA46" s="12" t="str">
        <f t="shared" si="8"/>
        <v>INSERT INTO sy_perm_list (USER_CD, OPT_CD, ACCESS_TYPE, BRANCH_CODE, CLASS_CODE, ENT_BY, ENT_DATE, ENT_BY_IP)</v>
      </c>
      <c r="AB46" s="12" t="str">
        <f t="shared" si="9"/>
        <v>VALUES('08800990','Client.aspx', 'USER', '01', '08', 'ABDUL', SYSDATE, '10.6.100.63');</v>
      </c>
      <c r="AC46" s="12" t="str">
        <f t="shared" si="10"/>
        <v>INSERT INTO sy_perm_list (USER_CD, OPT_CD, ACCESS_TYPE, BRANCH_CODE, CLASS_CODE, ENT_BY, ENT_DATE, ENT_BY_IP)</v>
      </c>
      <c r="AD46" s="12" t="str">
        <f t="shared" si="11"/>
        <v>VALUES('08800990','ClientReports.aspx', 'USER', '01', '08', 'ABDUL', SYSDATE, '10.6.100.63');</v>
      </c>
      <c r="AE46" s="12" t="str">
        <f t="shared" si="12"/>
        <v>INSERT INTO sy_perm_list (USER_CD, OPT_CD, ACCESS_TYPE, BRANCH_CODE, CLASS_CODE, ENT_BY, ENT_DATE, ENT_BY_IP)</v>
      </c>
      <c r="AF46" s="12" t="str">
        <f t="shared" si="13"/>
        <v>VALUES('08800990','ClientRequests.aspx', 'USER', '01', '08', 'ABDUL', SYSDATE, '10.6.100.63');</v>
      </c>
      <c r="AG46" s="12" t="str">
        <f t="shared" si="14"/>
        <v>INSERT INTO sy_perm_list (USER_CD, OPT_CD, ACCESS_TYPE, BRANCH_CODE, CLASS_CODE, ENT_BY, ENT_DATE, ENT_BY_IP)</v>
      </c>
      <c r="AH46" s="12" t="str">
        <f t="shared" si="15"/>
        <v>VALUES('08800990','HealthLife.aspx', 'USER', '01', '08', 'ABDUL', SYSDATE, '10.6.100.63');</v>
      </c>
      <c r="AI46" s="12" t="str">
        <f t="shared" si="16"/>
        <v>INSERT INTO sy_perm_list (USER_CD, OPT_CD, ACCESS_TYPE, BRANCH_CODE, CLASS_CODE, ENT_BY, ENT_DATE, ENT_BY_IP)</v>
      </c>
      <c r="AJ46" s="12" t="str">
        <f t="shared" si="17"/>
        <v>VALUES('08800990','IpdClaim.aspx', 'USER', '01', '08', 'ABDUL', SYSDATE, '10.6.100.63');</v>
      </c>
      <c r="AK46" s="12" t="str">
        <f t="shared" si="18"/>
        <v>INSERT INTO sy_perm_list (USER_CD, OPT_CD, ACCESS_TYPE, BRANCH_CODE, CLASS_CODE, ENT_BY, ENT_DATE, ENT_BY_IP)</v>
      </c>
      <c r="AL46" s="12" t="str">
        <f t="shared" si="19"/>
        <v>VALUES('08800990','OpdClaim.aspx', 'USER', '01', '08', 'ABDUL', SYSDATE, '10.6.100.63');</v>
      </c>
      <c r="AM46" s="12" t="str">
        <f t="shared" si="20"/>
        <v>INSERT INTO sy_perm_list (USER_CD, OPT_CD, ACCESS_TYPE, BRANCH_CODE, CLASS_CODE, ENT_BY, ENT_DATE, ENT_BY_IP)</v>
      </c>
      <c r="AN46" s="12" t="str">
        <f t="shared" si="21"/>
        <v>VALUES('08800990','RequestDetails.aspx', 'USER', '01', '08', 'ABDUL', SYSDATE, '10.6.100.63');</v>
      </c>
      <c r="AO46" s="12" t="str">
        <f t="shared" si="22"/>
        <v>INSERT INTO sy_perm_list (USER_CD, OPT_CD, ACCESS_TYPE, BRANCH_CODE, CLASS_CODE, ENT_BY, ENT_DATE, ENT_BY_IP)</v>
      </c>
      <c r="AP46" s="12" t="str">
        <f t="shared" si="23"/>
        <v>VALUES('08800990','TodaysRequest.aspx', 'USER', '01', '08', 'ABDUL', SYSDATE, '10.6.100.63');</v>
      </c>
    </row>
    <row r="47" spans="1:42" s="6" customFormat="1" ht="76.5" x14ac:dyDescent="0.2">
      <c r="A47" s="4">
        <v>41</v>
      </c>
      <c r="B47" s="5" t="s">
        <v>693</v>
      </c>
      <c r="C47" s="5">
        <v>9000218</v>
      </c>
      <c r="D47" s="6" t="s">
        <v>310</v>
      </c>
      <c r="E47" s="6" t="s">
        <v>299</v>
      </c>
      <c r="F47" s="5" t="s">
        <v>287</v>
      </c>
      <c r="G47" s="6" t="s">
        <v>288</v>
      </c>
      <c r="H47" s="5" t="s">
        <v>649</v>
      </c>
      <c r="I47" s="5">
        <v>811</v>
      </c>
      <c r="J47" s="5" t="s">
        <v>538</v>
      </c>
      <c r="K47" s="6" t="s">
        <v>539</v>
      </c>
      <c r="L47" s="6" t="s">
        <v>577</v>
      </c>
      <c r="M47" s="6" t="s">
        <v>578</v>
      </c>
      <c r="N47" s="7">
        <v>44265</v>
      </c>
      <c r="O47" s="7">
        <v>44256</v>
      </c>
      <c r="P47" s="7">
        <v>44620</v>
      </c>
      <c r="Q47" s="8">
        <v>33</v>
      </c>
      <c r="R47" s="8">
        <v>82</v>
      </c>
      <c r="S4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7" s="12" t="str">
        <f t="shared" si="1"/>
        <v>VALUES('08801825','DIMENSIONS','Salaam@123','Y','N',sysdate,'016', 'C', 'Client', 'faisa.abbasi@dimensionsoffice.com','01','B', '08', 'ABDUL', sysdate, '10.6.100.63', '08801825');</v>
      </c>
      <c r="U47" s="12" t="str">
        <f t="shared" si="2"/>
        <v>INSERT INTO sy_user_branches (USER_CD, BRANCH_CODE, CLASS_CODE, ENT_BY, ENT_DATE, ENT_BY_IP)</v>
      </c>
      <c r="V47" s="12" t="str">
        <f t="shared" si="3"/>
        <v>values('08801825','01', '08', 'ABDUL', sysdate, '10.6.100.63');</v>
      </c>
      <c r="W47" s="12" t="str">
        <f t="shared" si="4"/>
        <v>INSERT INTO sy_perm_list (USER_CD, OPT_CD, ACCESS_TYPE, BRANCH_CODE, CLASS_CODE, ENT_BY, ENT_DATE, ENT_BY_IP)</v>
      </c>
      <c r="X47" s="12" t="str">
        <f t="shared" si="5"/>
        <v>VALUES('08801825','ClaimComments.aspx', 'USER', '01', '08', 'ABDUL', SYSDATE, '10.6.100.63');</v>
      </c>
      <c r="Y47" s="12" t="str">
        <f t="shared" si="6"/>
        <v>INSERT INTO sy_perm_list (USER_CD, OPT_CD, ACCESS_TYPE, BRANCH_CODE, CLASS_CODE, ENT_BY, ENT_DATE, ENT_BY_IP)</v>
      </c>
      <c r="Z47" s="12" t="str">
        <f t="shared" si="7"/>
        <v>VALUES('08801825','ClaimDocs.aspx', 'USER', '01', '08', 'ABDUL', SYSDATE, '10.6.100.63');</v>
      </c>
      <c r="AA47" s="12" t="str">
        <f t="shared" si="8"/>
        <v>INSERT INTO sy_perm_list (USER_CD, OPT_CD, ACCESS_TYPE, BRANCH_CODE, CLASS_CODE, ENT_BY, ENT_DATE, ENT_BY_IP)</v>
      </c>
      <c r="AB47" s="12" t="str">
        <f t="shared" si="9"/>
        <v>VALUES('08801825','Client.aspx', 'USER', '01', '08', 'ABDUL', SYSDATE, '10.6.100.63');</v>
      </c>
      <c r="AC47" s="12" t="str">
        <f t="shared" si="10"/>
        <v>INSERT INTO sy_perm_list (USER_CD, OPT_CD, ACCESS_TYPE, BRANCH_CODE, CLASS_CODE, ENT_BY, ENT_DATE, ENT_BY_IP)</v>
      </c>
      <c r="AD47" s="12" t="str">
        <f t="shared" si="11"/>
        <v>VALUES('08801825','ClientReports.aspx', 'USER', '01', '08', 'ABDUL', SYSDATE, '10.6.100.63');</v>
      </c>
      <c r="AE47" s="12" t="str">
        <f t="shared" si="12"/>
        <v>INSERT INTO sy_perm_list (USER_CD, OPT_CD, ACCESS_TYPE, BRANCH_CODE, CLASS_CODE, ENT_BY, ENT_DATE, ENT_BY_IP)</v>
      </c>
      <c r="AF47" s="12" t="str">
        <f t="shared" si="13"/>
        <v>VALUES('08801825','ClientRequests.aspx', 'USER', '01', '08', 'ABDUL', SYSDATE, '10.6.100.63');</v>
      </c>
      <c r="AG47" s="12" t="str">
        <f t="shared" si="14"/>
        <v>INSERT INTO sy_perm_list (USER_CD, OPT_CD, ACCESS_TYPE, BRANCH_CODE, CLASS_CODE, ENT_BY, ENT_DATE, ENT_BY_IP)</v>
      </c>
      <c r="AH47" s="12" t="str">
        <f t="shared" si="15"/>
        <v>VALUES('08801825','HealthLife.aspx', 'USER', '01', '08', 'ABDUL', SYSDATE, '10.6.100.63');</v>
      </c>
      <c r="AI47" s="12" t="str">
        <f t="shared" si="16"/>
        <v>INSERT INTO sy_perm_list (USER_CD, OPT_CD, ACCESS_TYPE, BRANCH_CODE, CLASS_CODE, ENT_BY, ENT_DATE, ENT_BY_IP)</v>
      </c>
      <c r="AJ47" s="12" t="str">
        <f t="shared" si="17"/>
        <v>VALUES('08801825','IpdClaim.aspx', 'USER', '01', '08', 'ABDUL', SYSDATE, '10.6.100.63');</v>
      </c>
      <c r="AK47" s="12" t="str">
        <f t="shared" si="18"/>
        <v>INSERT INTO sy_perm_list (USER_CD, OPT_CD, ACCESS_TYPE, BRANCH_CODE, CLASS_CODE, ENT_BY, ENT_DATE, ENT_BY_IP)</v>
      </c>
      <c r="AL47" s="12" t="str">
        <f t="shared" si="19"/>
        <v>VALUES('08801825','OpdClaim.aspx', 'USER', '01', '08', 'ABDUL', SYSDATE, '10.6.100.63');</v>
      </c>
      <c r="AM47" s="12" t="str">
        <f t="shared" si="20"/>
        <v>INSERT INTO sy_perm_list (USER_CD, OPT_CD, ACCESS_TYPE, BRANCH_CODE, CLASS_CODE, ENT_BY, ENT_DATE, ENT_BY_IP)</v>
      </c>
      <c r="AN47" s="12" t="str">
        <f t="shared" si="21"/>
        <v>VALUES('08801825','RequestDetails.aspx', 'USER', '01', '08', 'ABDUL', SYSDATE, '10.6.100.63');</v>
      </c>
      <c r="AO47" s="12" t="str">
        <f t="shared" si="22"/>
        <v>INSERT INTO sy_perm_list (USER_CD, OPT_CD, ACCESS_TYPE, BRANCH_CODE, CLASS_CODE, ENT_BY, ENT_DATE, ENT_BY_IP)</v>
      </c>
      <c r="AP47" s="12" t="str">
        <f t="shared" si="23"/>
        <v>VALUES('08801825','TodaysRequest.aspx', 'USER', '01', '08', 'ABDUL', SYSDATE, '10.6.100.63');</v>
      </c>
    </row>
    <row r="48" spans="1:42" s="6" customFormat="1" ht="76.5" x14ac:dyDescent="0.2">
      <c r="A48" s="4">
        <v>42</v>
      </c>
      <c r="B48" s="5" t="s">
        <v>694</v>
      </c>
      <c r="C48" s="5">
        <v>9000221</v>
      </c>
      <c r="D48" s="6" t="s">
        <v>285</v>
      </c>
      <c r="E48" s="6" t="s">
        <v>286</v>
      </c>
      <c r="F48" s="5" t="s">
        <v>287</v>
      </c>
      <c r="G48" s="6" t="s">
        <v>288</v>
      </c>
      <c r="H48" s="5" t="s">
        <v>649</v>
      </c>
      <c r="I48" s="5">
        <v>762</v>
      </c>
      <c r="J48" s="5" t="s">
        <v>482</v>
      </c>
      <c r="K48" s="6" t="s">
        <v>10</v>
      </c>
      <c r="L48" s="6" t="s">
        <v>107</v>
      </c>
      <c r="M48" s="6" t="s">
        <v>108</v>
      </c>
      <c r="N48" s="7">
        <v>44235</v>
      </c>
      <c r="O48" s="7">
        <v>44197</v>
      </c>
      <c r="P48" s="7">
        <v>44561</v>
      </c>
      <c r="Q48" s="8">
        <v>2323</v>
      </c>
      <c r="R48" s="8">
        <v>5646</v>
      </c>
      <c r="S48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8" s="12" t="str">
        <f t="shared" si="1"/>
        <v>VALUES('08004847','DUBAI ISLAMIC BANK PAKISTAN LIMITED','Salaam@123','Y','N',sysdate,'016', 'C', 'Client', 'rehanra@dibpak.com','01','B', '08', 'ABDUL', sysdate, '10.6.100.63', '08004847');</v>
      </c>
      <c r="U48" s="12" t="str">
        <f t="shared" si="2"/>
        <v>INSERT INTO sy_user_branches (USER_CD, BRANCH_CODE, CLASS_CODE, ENT_BY, ENT_DATE, ENT_BY_IP)</v>
      </c>
      <c r="V48" s="12" t="str">
        <f t="shared" si="3"/>
        <v>values('08004847','01', '08', 'ABDUL', sysdate, '10.6.100.63');</v>
      </c>
      <c r="W48" s="12" t="str">
        <f t="shared" si="4"/>
        <v>INSERT INTO sy_perm_list (USER_CD, OPT_CD, ACCESS_TYPE, BRANCH_CODE, CLASS_CODE, ENT_BY, ENT_DATE, ENT_BY_IP)</v>
      </c>
      <c r="X48" s="12" t="str">
        <f t="shared" si="5"/>
        <v>VALUES('08004847','ClaimComments.aspx', 'USER', '01', '08', 'ABDUL', SYSDATE, '10.6.100.63');</v>
      </c>
      <c r="Y48" s="12" t="str">
        <f t="shared" si="6"/>
        <v>INSERT INTO sy_perm_list (USER_CD, OPT_CD, ACCESS_TYPE, BRANCH_CODE, CLASS_CODE, ENT_BY, ENT_DATE, ENT_BY_IP)</v>
      </c>
      <c r="Z48" s="12" t="str">
        <f t="shared" si="7"/>
        <v>VALUES('08004847','ClaimDocs.aspx', 'USER', '01', '08', 'ABDUL', SYSDATE, '10.6.100.63');</v>
      </c>
      <c r="AA48" s="12" t="str">
        <f t="shared" si="8"/>
        <v>INSERT INTO sy_perm_list (USER_CD, OPT_CD, ACCESS_TYPE, BRANCH_CODE, CLASS_CODE, ENT_BY, ENT_DATE, ENT_BY_IP)</v>
      </c>
      <c r="AB48" s="12" t="str">
        <f t="shared" si="9"/>
        <v>VALUES('08004847','Client.aspx', 'USER', '01', '08', 'ABDUL', SYSDATE, '10.6.100.63');</v>
      </c>
      <c r="AC48" s="12" t="str">
        <f t="shared" si="10"/>
        <v>INSERT INTO sy_perm_list (USER_CD, OPT_CD, ACCESS_TYPE, BRANCH_CODE, CLASS_CODE, ENT_BY, ENT_DATE, ENT_BY_IP)</v>
      </c>
      <c r="AD48" s="12" t="str">
        <f t="shared" si="11"/>
        <v>VALUES('08004847','ClientReports.aspx', 'USER', '01', '08', 'ABDUL', SYSDATE, '10.6.100.63');</v>
      </c>
      <c r="AE48" s="12" t="str">
        <f t="shared" si="12"/>
        <v>INSERT INTO sy_perm_list (USER_CD, OPT_CD, ACCESS_TYPE, BRANCH_CODE, CLASS_CODE, ENT_BY, ENT_DATE, ENT_BY_IP)</v>
      </c>
      <c r="AF48" s="12" t="str">
        <f t="shared" si="13"/>
        <v>VALUES('08004847','ClientRequests.aspx', 'USER', '01', '08', 'ABDUL', SYSDATE, '10.6.100.63');</v>
      </c>
      <c r="AG48" s="12" t="str">
        <f t="shared" si="14"/>
        <v>INSERT INTO sy_perm_list (USER_CD, OPT_CD, ACCESS_TYPE, BRANCH_CODE, CLASS_CODE, ENT_BY, ENT_DATE, ENT_BY_IP)</v>
      </c>
      <c r="AH48" s="12" t="str">
        <f t="shared" si="15"/>
        <v>VALUES('08004847','HealthLife.aspx', 'USER', '01', '08', 'ABDUL', SYSDATE, '10.6.100.63');</v>
      </c>
      <c r="AI48" s="12" t="str">
        <f t="shared" si="16"/>
        <v>INSERT INTO sy_perm_list (USER_CD, OPT_CD, ACCESS_TYPE, BRANCH_CODE, CLASS_CODE, ENT_BY, ENT_DATE, ENT_BY_IP)</v>
      </c>
      <c r="AJ48" s="12" t="str">
        <f t="shared" si="17"/>
        <v>VALUES('08004847','IpdClaim.aspx', 'USER', '01', '08', 'ABDUL', SYSDATE, '10.6.100.63');</v>
      </c>
      <c r="AK48" s="12" t="str">
        <f t="shared" si="18"/>
        <v>INSERT INTO sy_perm_list (USER_CD, OPT_CD, ACCESS_TYPE, BRANCH_CODE, CLASS_CODE, ENT_BY, ENT_DATE, ENT_BY_IP)</v>
      </c>
      <c r="AL48" s="12" t="str">
        <f t="shared" si="19"/>
        <v>VALUES('08004847','OpdClaim.aspx', 'USER', '01', '08', 'ABDUL', SYSDATE, '10.6.100.63');</v>
      </c>
      <c r="AM48" s="12" t="str">
        <f t="shared" si="20"/>
        <v>INSERT INTO sy_perm_list (USER_CD, OPT_CD, ACCESS_TYPE, BRANCH_CODE, CLASS_CODE, ENT_BY, ENT_DATE, ENT_BY_IP)</v>
      </c>
      <c r="AN48" s="12" t="str">
        <f t="shared" si="21"/>
        <v>VALUES('08004847','RequestDetails.aspx', 'USER', '01', '08', 'ABDUL', SYSDATE, '10.6.100.63');</v>
      </c>
      <c r="AO48" s="12" t="str">
        <f t="shared" si="22"/>
        <v>INSERT INTO sy_perm_list (USER_CD, OPT_CD, ACCESS_TYPE, BRANCH_CODE, CLASS_CODE, ENT_BY, ENT_DATE, ENT_BY_IP)</v>
      </c>
      <c r="AP48" s="12" t="str">
        <f t="shared" si="23"/>
        <v>VALUES('08004847','TodaysRequest.aspx', 'USER', '01', '08', 'ABDUL', SYSDATE, '10.6.100.63');</v>
      </c>
    </row>
    <row r="49" spans="1:42" s="6" customFormat="1" ht="76.5" x14ac:dyDescent="0.2">
      <c r="A49" s="4">
        <v>43</v>
      </c>
      <c r="B49" s="5" t="s">
        <v>695</v>
      </c>
      <c r="C49" s="5">
        <v>9000221</v>
      </c>
      <c r="D49" s="6" t="s">
        <v>285</v>
      </c>
      <c r="E49" s="6" t="s">
        <v>286</v>
      </c>
      <c r="F49" s="5" t="s">
        <v>287</v>
      </c>
      <c r="G49" s="6" t="s">
        <v>288</v>
      </c>
      <c r="H49" s="5" t="s">
        <v>649</v>
      </c>
      <c r="I49" s="5">
        <v>604</v>
      </c>
      <c r="J49" s="5" t="s">
        <v>348</v>
      </c>
      <c r="K49" s="6" t="s">
        <v>68</v>
      </c>
      <c r="L49" s="6" t="s">
        <v>111</v>
      </c>
      <c r="M49" s="6" t="s">
        <v>112</v>
      </c>
      <c r="N49" s="7">
        <v>44081</v>
      </c>
      <c r="O49" s="7">
        <v>44044</v>
      </c>
      <c r="P49" s="7">
        <v>44408</v>
      </c>
      <c r="Q49" s="8">
        <v>235</v>
      </c>
      <c r="R49" s="8">
        <v>235</v>
      </c>
      <c r="S4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49" s="12" t="str">
        <f t="shared" si="1"/>
        <v>VALUES('08801482','E SQUARE SERVICES (PRIVATE) LIMITED','Salaam@123','Y','N',sysdate,'016', 'C', 'Client', 'shahnawaz@esquare.com.pk','01','B', '08', 'ABDUL', sysdate, '10.6.100.63', '08801482');</v>
      </c>
      <c r="U49" s="12" t="str">
        <f t="shared" si="2"/>
        <v>INSERT INTO sy_user_branches (USER_CD, BRANCH_CODE, CLASS_CODE, ENT_BY, ENT_DATE, ENT_BY_IP)</v>
      </c>
      <c r="V49" s="12" t="str">
        <f t="shared" si="3"/>
        <v>values('08801482','01', '08', 'ABDUL', sysdate, '10.6.100.63');</v>
      </c>
      <c r="W49" s="12" t="str">
        <f t="shared" si="4"/>
        <v>INSERT INTO sy_perm_list (USER_CD, OPT_CD, ACCESS_TYPE, BRANCH_CODE, CLASS_CODE, ENT_BY, ENT_DATE, ENT_BY_IP)</v>
      </c>
      <c r="X49" s="12" t="str">
        <f t="shared" si="5"/>
        <v>VALUES('08801482','ClaimComments.aspx', 'USER', '01', '08', 'ABDUL', SYSDATE, '10.6.100.63');</v>
      </c>
      <c r="Y49" s="12" t="str">
        <f t="shared" si="6"/>
        <v>INSERT INTO sy_perm_list (USER_CD, OPT_CD, ACCESS_TYPE, BRANCH_CODE, CLASS_CODE, ENT_BY, ENT_DATE, ENT_BY_IP)</v>
      </c>
      <c r="Z49" s="12" t="str">
        <f t="shared" si="7"/>
        <v>VALUES('08801482','ClaimDocs.aspx', 'USER', '01', '08', 'ABDUL', SYSDATE, '10.6.100.63');</v>
      </c>
      <c r="AA49" s="12" t="str">
        <f t="shared" si="8"/>
        <v>INSERT INTO sy_perm_list (USER_CD, OPT_CD, ACCESS_TYPE, BRANCH_CODE, CLASS_CODE, ENT_BY, ENT_DATE, ENT_BY_IP)</v>
      </c>
      <c r="AB49" s="12" t="str">
        <f t="shared" si="9"/>
        <v>VALUES('08801482','Client.aspx', 'USER', '01', '08', 'ABDUL', SYSDATE, '10.6.100.63');</v>
      </c>
      <c r="AC49" s="12" t="str">
        <f t="shared" si="10"/>
        <v>INSERT INTO sy_perm_list (USER_CD, OPT_CD, ACCESS_TYPE, BRANCH_CODE, CLASS_CODE, ENT_BY, ENT_DATE, ENT_BY_IP)</v>
      </c>
      <c r="AD49" s="12" t="str">
        <f t="shared" si="11"/>
        <v>VALUES('08801482','ClientReports.aspx', 'USER', '01', '08', 'ABDUL', SYSDATE, '10.6.100.63');</v>
      </c>
      <c r="AE49" s="12" t="str">
        <f t="shared" si="12"/>
        <v>INSERT INTO sy_perm_list (USER_CD, OPT_CD, ACCESS_TYPE, BRANCH_CODE, CLASS_CODE, ENT_BY, ENT_DATE, ENT_BY_IP)</v>
      </c>
      <c r="AF49" s="12" t="str">
        <f t="shared" si="13"/>
        <v>VALUES('08801482','ClientRequests.aspx', 'USER', '01', '08', 'ABDUL', SYSDATE, '10.6.100.63');</v>
      </c>
      <c r="AG49" s="12" t="str">
        <f t="shared" si="14"/>
        <v>INSERT INTO sy_perm_list (USER_CD, OPT_CD, ACCESS_TYPE, BRANCH_CODE, CLASS_CODE, ENT_BY, ENT_DATE, ENT_BY_IP)</v>
      </c>
      <c r="AH49" s="12" t="str">
        <f t="shared" si="15"/>
        <v>VALUES('08801482','HealthLife.aspx', 'USER', '01', '08', 'ABDUL', SYSDATE, '10.6.100.63');</v>
      </c>
      <c r="AI49" s="12" t="str">
        <f t="shared" si="16"/>
        <v>INSERT INTO sy_perm_list (USER_CD, OPT_CD, ACCESS_TYPE, BRANCH_CODE, CLASS_CODE, ENT_BY, ENT_DATE, ENT_BY_IP)</v>
      </c>
      <c r="AJ49" s="12" t="str">
        <f t="shared" si="17"/>
        <v>VALUES('08801482','IpdClaim.aspx', 'USER', '01', '08', 'ABDUL', SYSDATE, '10.6.100.63');</v>
      </c>
      <c r="AK49" s="12" t="str">
        <f t="shared" si="18"/>
        <v>INSERT INTO sy_perm_list (USER_CD, OPT_CD, ACCESS_TYPE, BRANCH_CODE, CLASS_CODE, ENT_BY, ENT_DATE, ENT_BY_IP)</v>
      </c>
      <c r="AL49" s="12" t="str">
        <f t="shared" si="19"/>
        <v>VALUES('08801482','OpdClaim.aspx', 'USER', '01', '08', 'ABDUL', SYSDATE, '10.6.100.63');</v>
      </c>
      <c r="AM49" s="12" t="str">
        <f t="shared" si="20"/>
        <v>INSERT INTO sy_perm_list (USER_CD, OPT_CD, ACCESS_TYPE, BRANCH_CODE, CLASS_CODE, ENT_BY, ENT_DATE, ENT_BY_IP)</v>
      </c>
      <c r="AN49" s="12" t="str">
        <f t="shared" si="21"/>
        <v>VALUES('08801482','RequestDetails.aspx', 'USER', '01', '08', 'ABDUL', SYSDATE, '10.6.100.63');</v>
      </c>
      <c r="AO49" s="12" t="str">
        <f t="shared" si="22"/>
        <v>INSERT INTO sy_perm_list (USER_CD, OPT_CD, ACCESS_TYPE, BRANCH_CODE, CLASS_CODE, ENT_BY, ENT_DATE, ENT_BY_IP)</v>
      </c>
      <c r="AP49" s="12" t="str">
        <f t="shared" si="23"/>
        <v>VALUES('08801482','TodaysRequest.aspx', 'USER', '01', '08', 'ABDUL', SYSDATE, '10.6.100.63');</v>
      </c>
    </row>
    <row r="50" spans="1:42" s="6" customFormat="1" ht="12.75" x14ac:dyDescent="0.2">
      <c r="A50" s="4"/>
      <c r="B50" s="5" t="s">
        <v>695</v>
      </c>
      <c r="C50" s="5">
        <v>9000221</v>
      </c>
      <c r="D50" s="6" t="s">
        <v>285</v>
      </c>
      <c r="E50" s="6" t="s">
        <v>286</v>
      </c>
      <c r="F50" s="5" t="s">
        <v>287</v>
      </c>
      <c r="G50" s="6" t="s">
        <v>288</v>
      </c>
      <c r="H50" s="5" t="s">
        <v>649</v>
      </c>
      <c r="I50" s="5">
        <v>1096</v>
      </c>
      <c r="J50" s="5" t="s">
        <v>1052</v>
      </c>
      <c r="K50" s="6" t="s">
        <v>68</v>
      </c>
      <c r="L50" s="6" t="s">
        <v>111</v>
      </c>
      <c r="M50" s="6" t="s">
        <v>112</v>
      </c>
      <c r="N50" s="7">
        <v>44410</v>
      </c>
      <c r="O50" s="7">
        <v>44409</v>
      </c>
      <c r="P50" s="7">
        <v>44773</v>
      </c>
      <c r="Q50" s="8"/>
      <c r="R50" s="8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</row>
    <row r="51" spans="1:42" s="6" customFormat="1" ht="15.75" thickBot="1" x14ac:dyDescent="0.25">
      <c r="A51" s="4"/>
      <c r="B51" s="5"/>
      <c r="C51" s="5"/>
      <c r="F51" s="5"/>
      <c r="H51" s="5"/>
      <c r="I51" s="5"/>
      <c r="J51" s="51" t="s">
        <v>1052</v>
      </c>
      <c r="N51" s="7"/>
      <c r="O51" s="7"/>
      <c r="P51" s="7"/>
      <c r="Q51" s="8"/>
      <c r="R51" s="8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</row>
    <row r="52" spans="1:42" s="6" customFormat="1" ht="15.75" thickBot="1" x14ac:dyDescent="0.25">
      <c r="A52" s="4"/>
      <c r="B52" s="5"/>
      <c r="C52" s="5"/>
      <c r="F52" s="5"/>
      <c r="H52" s="5"/>
      <c r="I52" s="5"/>
      <c r="J52" s="51" t="s">
        <v>1227</v>
      </c>
      <c r="N52" s="7"/>
      <c r="O52" s="7"/>
      <c r="P52" s="7"/>
      <c r="Q52" s="8"/>
      <c r="R52" s="8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</row>
    <row r="53" spans="1:42" s="20" customFormat="1" ht="76.5" x14ac:dyDescent="0.2">
      <c r="A53" s="4">
        <v>44</v>
      </c>
      <c r="B53" s="24" t="s">
        <v>840</v>
      </c>
      <c r="C53" s="19">
        <v>9000221</v>
      </c>
      <c r="D53" s="19" t="s">
        <v>285</v>
      </c>
      <c r="E53" s="19" t="s">
        <v>286</v>
      </c>
      <c r="F53" s="19" t="s">
        <v>287</v>
      </c>
      <c r="G53" s="19" t="s">
        <v>288</v>
      </c>
      <c r="H53" s="19" t="s">
        <v>649</v>
      </c>
      <c r="I53" s="19">
        <v>661</v>
      </c>
      <c r="J53" s="19" t="s">
        <v>386</v>
      </c>
      <c r="K53" s="20" t="s">
        <v>91</v>
      </c>
      <c r="L53" s="20" t="s">
        <v>17</v>
      </c>
      <c r="M53" s="26" t="s">
        <v>18</v>
      </c>
      <c r="N53" s="21"/>
      <c r="O53" s="21"/>
      <c r="P53" s="21"/>
      <c r="Q53" s="22"/>
      <c r="R53" s="22"/>
      <c r="S53" s="23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53" s="23" t="str">
        <f>"VALUES('"&amp;B53&amp;"','"&amp;K53&amp;"','Salaam@123','Y','N',sysdate,'016', 'C', 'Client', '"&amp;M53&amp;"','01','B', '08', 'ABDUL', sysdate, '10.6.100.63', '"&amp;B49&amp;"');"</f>
        <v>VALUES('088014821','RETAILO - MARIO TECHNOLOGIES (E SQUARE)','Salaam@123','Y','N',sysdate,'016', 'C', 'Client', 'asadshah@esquare.com.pk','01','B', '08', 'ABDUL', sysdate, '10.6.100.63', '08801482');</v>
      </c>
      <c r="U53" s="23" t="str">
        <f t="shared" si="2"/>
        <v>INSERT INTO sy_user_branches (USER_CD, BRANCH_CODE, CLASS_CODE, ENT_BY, ENT_DATE, ENT_BY_IP)</v>
      </c>
      <c r="V53" s="23" t="str">
        <f>"values('"&amp;B53&amp;"','01', '08', 'ABDUL', sysdate, '10.6.100.63');"</f>
        <v>values('088014821','01', '08', 'ABDUL', sysdate, '10.6.100.63');</v>
      </c>
      <c r="W53" s="23" t="str">
        <f t="shared" si="4"/>
        <v>INSERT INTO sy_perm_list (USER_CD, OPT_CD, ACCESS_TYPE, BRANCH_CODE, CLASS_CODE, ENT_BY, ENT_DATE, ENT_BY_IP)</v>
      </c>
      <c r="X53" s="23" t="str">
        <f>"VALUES('"&amp;B53&amp;"','ClaimComments.aspx', 'USER', '01', '08', 'ABDUL', SYSDATE, '10.6.100.63');"</f>
        <v>VALUES('088014821','ClaimComments.aspx', 'USER', '01', '08', 'ABDUL', SYSDATE, '10.6.100.63');</v>
      </c>
      <c r="Y53" s="23" t="str">
        <f t="shared" si="6"/>
        <v>INSERT INTO sy_perm_list (USER_CD, OPT_CD, ACCESS_TYPE, BRANCH_CODE, CLASS_CODE, ENT_BY, ENT_DATE, ENT_BY_IP)</v>
      </c>
      <c r="Z53" s="23" t="str">
        <f>"VALUES('"&amp;B53&amp;"','ClaimDocs.aspx', 'USER', '01', '08', 'ABDUL', SYSDATE, '10.6.100.63');"</f>
        <v>VALUES('088014821','ClaimDocs.aspx', 'USER', '01', '08', 'ABDUL', SYSDATE, '10.6.100.63');</v>
      </c>
      <c r="AA53" s="23" t="str">
        <f t="shared" si="8"/>
        <v>INSERT INTO sy_perm_list (USER_CD, OPT_CD, ACCESS_TYPE, BRANCH_CODE, CLASS_CODE, ENT_BY, ENT_DATE, ENT_BY_IP)</v>
      </c>
      <c r="AB53" s="23" t="str">
        <f>"VALUES('"&amp;B53&amp;"','Client.aspx', 'USER', '01', '08', 'ABDUL', SYSDATE, '10.6.100.63');"</f>
        <v>VALUES('088014821','Client.aspx', 'USER', '01', '08', 'ABDUL', SYSDATE, '10.6.100.63');</v>
      </c>
      <c r="AC53" s="23" t="str">
        <f t="shared" si="10"/>
        <v>INSERT INTO sy_perm_list (USER_CD, OPT_CD, ACCESS_TYPE, BRANCH_CODE, CLASS_CODE, ENT_BY, ENT_DATE, ENT_BY_IP)</v>
      </c>
      <c r="AD53" s="23" t="str">
        <f>"VALUES('"&amp;B53&amp;"','ClientReports.aspx', 'USER', '01', '08', 'ABDUL', SYSDATE, '10.6.100.63');"</f>
        <v>VALUES('088014821','ClientReports.aspx', 'USER', '01', '08', 'ABDUL', SYSDATE, '10.6.100.63');</v>
      </c>
      <c r="AE53" s="23" t="str">
        <f t="shared" si="12"/>
        <v>INSERT INTO sy_perm_list (USER_CD, OPT_CD, ACCESS_TYPE, BRANCH_CODE, CLASS_CODE, ENT_BY, ENT_DATE, ENT_BY_IP)</v>
      </c>
      <c r="AF53" s="23" t="str">
        <f>"VALUES('"&amp;B53&amp;"','ClientRequests.aspx', 'USER', '01', '08', 'ABDUL', SYSDATE, '10.6.100.63');"</f>
        <v>VALUES('088014821','ClientRequests.aspx', 'USER', '01', '08', 'ABDUL', SYSDATE, '10.6.100.63');</v>
      </c>
      <c r="AG53" s="23" t="str">
        <f t="shared" si="14"/>
        <v>INSERT INTO sy_perm_list (USER_CD, OPT_CD, ACCESS_TYPE, BRANCH_CODE, CLASS_CODE, ENT_BY, ENT_DATE, ENT_BY_IP)</v>
      </c>
      <c r="AH53" s="23" t="str">
        <f>"VALUES('"&amp;B53&amp;"','HealthLife.aspx', 'USER', '01', '08', 'ABDUL', SYSDATE, '10.6.100.63');"</f>
        <v>VALUES('088014821','HealthLife.aspx', 'USER', '01', '08', 'ABDUL', SYSDATE, '10.6.100.63');</v>
      </c>
      <c r="AI53" s="23" t="str">
        <f t="shared" si="16"/>
        <v>INSERT INTO sy_perm_list (USER_CD, OPT_CD, ACCESS_TYPE, BRANCH_CODE, CLASS_CODE, ENT_BY, ENT_DATE, ENT_BY_IP)</v>
      </c>
      <c r="AJ53" s="23" t="str">
        <f>"VALUES('"&amp;B53&amp;"','IpdClaim.aspx', 'USER', '01', '08', 'ABDUL', SYSDATE, '10.6.100.63');"</f>
        <v>VALUES('088014821','IpdClaim.aspx', 'USER', '01', '08', 'ABDUL', SYSDATE, '10.6.100.63');</v>
      </c>
      <c r="AK53" s="23" t="str">
        <f t="shared" si="18"/>
        <v>INSERT INTO sy_perm_list (USER_CD, OPT_CD, ACCESS_TYPE, BRANCH_CODE, CLASS_CODE, ENT_BY, ENT_DATE, ENT_BY_IP)</v>
      </c>
      <c r="AL53" s="23" t="str">
        <f>"VALUES('"&amp;B53&amp;"','OpdClaim.aspx', 'USER', '01', '08', 'ABDUL', SYSDATE, '10.6.100.63');"</f>
        <v>VALUES('088014821','OpdClaim.aspx', 'USER', '01', '08', 'ABDUL', SYSDATE, '10.6.100.63');</v>
      </c>
      <c r="AM53" s="23" t="str">
        <f t="shared" si="20"/>
        <v>INSERT INTO sy_perm_list (USER_CD, OPT_CD, ACCESS_TYPE, BRANCH_CODE, CLASS_CODE, ENT_BY, ENT_DATE, ENT_BY_IP)</v>
      </c>
      <c r="AN53" s="23" t="str">
        <f>"VALUES('"&amp;B53&amp;"','RequestDetails.aspx', 'USER', '01', '08', 'ABDUL', SYSDATE, '10.6.100.63');"</f>
        <v>VALUES('088014821','RequestDetails.aspx', 'USER', '01', '08', 'ABDUL', SYSDATE, '10.6.100.63');</v>
      </c>
      <c r="AO53" s="23" t="str">
        <f t="shared" si="22"/>
        <v>INSERT INTO sy_perm_list (USER_CD, OPT_CD, ACCESS_TYPE, BRANCH_CODE, CLASS_CODE, ENT_BY, ENT_DATE, ENT_BY_IP)</v>
      </c>
      <c r="AP53" s="23" t="str">
        <f>"VALUES('"&amp;B53&amp;"','TodaysRequest.aspx', 'USER', '01', '08', 'ABDUL', SYSDATE, '10.6.100.63');"</f>
        <v>VALUES('088014821','TodaysRequest.aspx', 'USER', '01', '08', 'ABDUL', SYSDATE, '10.6.100.63');</v>
      </c>
    </row>
    <row r="54" spans="1:42" s="6" customFormat="1" ht="76.5" x14ac:dyDescent="0.2">
      <c r="A54" s="4">
        <v>45</v>
      </c>
      <c r="B54" s="5" t="s">
        <v>696</v>
      </c>
      <c r="C54" s="5">
        <v>9000218</v>
      </c>
      <c r="D54" s="6" t="s">
        <v>310</v>
      </c>
      <c r="E54" s="6" t="s">
        <v>299</v>
      </c>
      <c r="F54" s="5" t="s">
        <v>287</v>
      </c>
      <c r="G54" s="6" t="s">
        <v>288</v>
      </c>
      <c r="H54" s="5" t="s">
        <v>649</v>
      </c>
      <c r="I54" s="5">
        <v>549</v>
      </c>
      <c r="J54" s="5" t="s">
        <v>317</v>
      </c>
      <c r="K54" s="6" t="s">
        <v>318</v>
      </c>
      <c r="L54" s="6" t="s">
        <v>151</v>
      </c>
      <c r="M54" s="6" t="s">
        <v>152</v>
      </c>
      <c r="N54" s="7">
        <v>44012</v>
      </c>
      <c r="O54" s="7">
        <v>43992</v>
      </c>
      <c r="P54" s="7">
        <v>44356</v>
      </c>
      <c r="Q54" s="8">
        <v>138</v>
      </c>
      <c r="R54" s="8">
        <v>496</v>
      </c>
      <c r="S5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54" s="12" t="str">
        <f t="shared" si="1"/>
        <v>VALUES('08800720','E-ACCESS (PRIVATE) LIMITED','Salaam@123','Y','N',sysdate,'016', 'C', 'Client', 'ambreen.ellam@access.net.pk ','01','B', '08', 'ABDUL', sysdate, '10.6.100.63', '08800720');</v>
      </c>
      <c r="U54" s="12" t="str">
        <f t="shared" si="2"/>
        <v>INSERT INTO sy_user_branches (USER_CD, BRANCH_CODE, CLASS_CODE, ENT_BY, ENT_DATE, ENT_BY_IP)</v>
      </c>
      <c r="V54" s="12" t="str">
        <f t="shared" si="3"/>
        <v>values('08800720','01', '08', 'ABDUL', sysdate, '10.6.100.63');</v>
      </c>
      <c r="W54" s="12" t="str">
        <f t="shared" si="4"/>
        <v>INSERT INTO sy_perm_list (USER_CD, OPT_CD, ACCESS_TYPE, BRANCH_CODE, CLASS_CODE, ENT_BY, ENT_DATE, ENT_BY_IP)</v>
      </c>
      <c r="X54" s="12" t="str">
        <f t="shared" si="5"/>
        <v>VALUES('08800720','ClaimComments.aspx', 'USER', '01', '08', 'ABDUL', SYSDATE, '10.6.100.63');</v>
      </c>
      <c r="Y54" s="12" t="str">
        <f t="shared" si="6"/>
        <v>INSERT INTO sy_perm_list (USER_CD, OPT_CD, ACCESS_TYPE, BRANCH_CODE, CLASS_CODE, ENT_BY, ENT_DATE, ENT_BY_IP)</v>
      </c>
      <c r="Z54" s="12" t="str">
        <f t="shared" si="7"/>
        <v>VALUES('08800720','ClaimDocs.aspx', 'USER', '01', '08', 'ABDUL', SYSDATE, '10.6.100.63');</v>
      </c>
      <c r="AA54" s="12" t="str">
        <f t="shared" si="8"/>
        <v>INSERT INTO sy_perm_list (USER_CD, OPT_CD, ACCESS_TYPE, BRANCH_CODE, CLASS_CODE, ENT_BY, ENT_DATE, ENT_BY_IP)</v>
      </c>
      <c r="AB54" s="12" t="str">
        <f t="shared" si="9"/>
        <v>VALUES('08800720','Client.aspx', 'USER', '01', '08', 'ABDUL', SYSDATE, '10.6.100.63');</v>
      </c>
      <c r="AC54" s="12" t="str">
        <f t="shared" si="10"/>
        <v>INSERT INTO sy_perm_list (USER_CD, OPT_CD, ACCESS_TYPE, BRANCH_CODE, CLASS_CODE, ENT_BY, ENT_DATE, ENT_BY_IP)</v>
      </c>
      <c r="AD54" s="12" t="str">
        <f t="shared" si="11"/>
        <v>VALUES('08800720','ClientReports.aspx', 'USER', '01', '08', 'ABDUL', SYSDATE, '10.6.100.63');</v>
      </c>
      <c r="AE54" s="12" t="str">
        <f t="shared" si="12"/>
        <v>INSERT INTO sy_perm_list (USER_CD, OPT_CD, ACCESS_TYPE, BRANCH_CODE, CLASS_CODE, ENT_BY, ENT_DATE, ENT_BY_IP)</v>
      </c>
      <c r="AF54" s="12" t="str">
        <f t="shared" si="13"/>
        <v>VALUES('08800720','ClientRequests.aspx', 'USER', '01', '08', 'ABDUL', SYSDATE, '10.6.100.63');</v>
      </c>
      <c r="AG54" s="12" t="str">
        <f t="shared" si="14"/>
        <v>INSERT INTO sy_perm_list (USER_CD, OPT_CD, ACCESS_TYPE, BRANCH_CODE, CLASS_CODE, ENT_BY, ENT_DATE, ENT_BY_IP)</v>
      </c>
      <c r="AH54" s="12" t="str">
        <f t="shared" si="15"/>
        <v>VALUES('08800720','HealthLife.aspx', 'USER', '01', '08', 'ABDUL', SYSDATE, '10.6.100.63');</v>
      </c>
      <c r="AI54" s="12" t="str">
        <f t="shared" si="16"/>
        <v>INSERT INTO sy_perm_list (USER_CD, OPT_CD, ACCESS_TYPE, BRANCH_CODE, CLASS_CODE, ENT_BY, ENT_DATE, ENT_BY_IP)</v>
      </c>
      <c r="AJ54" s="12" t="str">
        <f t="shared" si="17"/>
        <v>VALUES('08800720','IpdClaim.aspx', 'USER', '01', '08', 'ABDUL', SYSDATE, '10.6.100.63');</v>
      </c>
      <c r="AK54" s="12" t="str">
        <f t="shared" si="18"/>
        <v>INSERT INTO sy_perm_list (USER_CD, OPT_CD, ACCESS_TYPE, BRANCH_CODE, CLASS_CODE, ENT_BY, ENT_DATE, ENT_BY_IP)</v>
      </c>
      <c r="AL54" s="12" t="str">
        <f t="shared" si="19"/>
        <v>VALUES('08800720','OpdClaim.aspx', 'USER', '01', '08', 'ABDUL', SYSDATE, '10.6.100.63');</v>
      </c>
      <c r="AM54" s="12" t="str">
        <f t="shared" si="20"/>
        <v>INSERT INTO sy_perm_list (USER_CD, OPT_CD, ACCESS_TYPE, BRANCH_CODE, CLASS_CODE, ENT_BY, ENT_DATE, ENT_BY_IP)</v>
      </c>
      <c r="AN54" s="12" t="str">
        <f t="shared" si="21"/>
        <v>VALUES('08800720','RequestDetails.aspx', 'USER', '01', '08', 'ABDUL', SYSDATE, '10.6.100.63');</v>
      </c>
      <c r="AO54" s="12" t="str">
        <f t="shared" si="22"/>
        <v>INSERT INTO sy_perm_list (USER_CD, OPT_CD, ACCESS_TYPE, BRANCH_CODE, CLASS_CODE, ENT_BY, ENT_DATE, ENT_BY_IP)</v>
      </c>
      <c r="AP54" s="12" t="str">
        <f t="shared" si="23"/>
        <v>VALUES('08800720','TodaysRequest.aspx', 'USER', '01', '08', 'ABDUL', SYSDATE, '10.6.100.63');</v>
      </c>
    </row>
    <row r="55" spans="1:42" s="6" customFormat="1" ht="15" x14ac:dyDescent="0.25">
      <c r="A55" s="4"/>
      <c r="B55" s="5" t="s">
        <v>696</v>
      </c>
      <c r="C55" s="5">
        <v>9000218</v>
      </c>
      <c r="D55" s="6" t="s">
        <v>310</v>
      </c>
      <c r="E55" s="6" t="s">
        <v>299</v>
      </c>
      <c r="F55" s="5" t="s">
        <v>287</v>
      </c>
      <c r="G55" s="6" t="s">
        <v>288</v>
      </c>
      <c r="H55" s="5" t="s">
        <v>649</v>
      </c>
      <c r="I55" s="5">
        <v>1046</v>
      </c>
      <c r="J55" s="36" t="s">
        <v>1002</v>
      </c>
      <c r="K55" s="6" t="s">
        <v>318</v>
      </c>
      <c r="L55" s="6" t="s">
        <v>151</v>
      </c>
      <c r="M55" s="6" t="s">
        <v>152</v>
      </c>
      <c r="N55" s="7"/>
      <c r="O55" s="7"/>
      <c r="P55" s="7"/>
      <c r="Q55" s="8"/>
      <c r="R55" s="8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</row>
    <row r="56" spans="1:42" s="6" customFormat="1" ht="78" thickBot="1" x14ac:dyDescent="0.3">
      <c r="A56" s="4"/>
      <c r="B56" s="43" t="s">
        <v>1004</v>
      </c>
      <c r="C56" s="5">
        <v>9000218</v>
      </c>
      <c r="D56" s="6" t="s">
        <v>310</v>
      </c>
      <c r="E56" s="6" t="s">
        <v>299</v>
      </c>
      <c r="F56" s="5" t="s">
        <v>287</v>
      </c>
      <c r="G56" s="6" t="s">
        <v>288</v>
      </c>
      <c r="H56" s="5" t="s">
        <v>649</v>
      </c>
      <c r="I56" s="5">
        <v>1047</v>
      </c>
      <c r="J56" s="36" t="s">
        <v>1001</v>
      </c>
      <c r="K56" s="46" t="s">
        <v>1005</v>
      </c>
      <c r="L56" s="6" t="s">
        <v>151</v>
      </c>
      <c r="M56" s="6" t="s">
        <v>152</v>
      </c>
      <c r="N56" s="7"/>
      <c r="O56" s="7"/>
      <c r="P56" s="7"/>
      <c r="Q56" s="8"/>
      <c r="R56" s="8"/>
      <c r="S56" s="12" t="str">
        <f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56" s="12" t="str">
        <f>"VALUES('"&amp;B56&amp;"','"&amp;K56&amp;"','Salaam@123','Y','N',sysdate,'016', 'C', 'Client', '"&amp;M56&amp;"','01','B', '08', 'ABDUL', sysdate, '10.6.100.63', '"&amp;B56&amp;"');"</f>
        <v>VALUES('088007201','E-Access (Pvt) Ltd (Contractual)','Salaam@123','Y','N',sysdate,'016', 'C', 'Client', 'ambreen.ellam@access.net.pk ','01','B', '08', 'ABDUL', sysdate, '10.6.100.63', '088007201');</v>
      </c>
      <c r="U56" s="12" t="str">
        <f t="shared" si="2"/>
        <v>INSERT INTO sy_user_branches (USER_CD, BRANCH_CODE, CLASS_CODE, ENT_BY, ENT_DATE, ENT_BY_IP)</v>
      </c>
      <c r="V56" s="12" t="str">
        <f>"values('"&amp;B56&amp;"','01', '08', 'ABDUL', sysdate, '10.6.100.63');"</f>
        <v>values('088007201','01', '08', 'ABDUL', sysdate, '10.6.100.63');</v>
      </c>
      <c r="W56" s="12" t="str">
        <f t="shared" si="4"/>
        <v>INSERT INTO sy_perm_list (USER_CD, OPT_CD, ACCESS_TYPE, BRANCH_CODE, CLASS_CODE, ENT_BY, ENT_DATE, ENT_BY_IP)</v>
      </c>
      <c r="X56" s="12" t="str">
        <f>"VALUES('"&amp;B56&amp;"','ClaimComments.aspx', 'USER', '01', '08', 'ABDUL', SYSDATE, '10.6.100.63');"</f>
        <v>VALUES('088007201','ClaimComments.aspx', 'USER', '01', '08', 'ABDUL', SYSDATE, '10.6.100.63');</v>
      </c>
      <c r="Y56" s="12" t="str">
        <f t="shared" si="6"/>
        <v>INSERT INTO sy_perm_list (USER_CD, OPT_CD, ACCESS_TYPE, BRANCH_CODE, CLASS_CODE, ENT_BY, ENT_DATE, ENT_BY_IP)</v>
      </c>
      <c r="Z56" s="12" t="str">
        <f>"VALUES('"&amp;B56&amp;"','ClaimDocs.aspx', 'USER', '01', '08', 'ABDUL', SYSDATE, '10.6.100.63');"</f>
        <v>VALUES('088007201','ClaimDocs.aspx', 'USER', '01', '08', 'ABDUL', SYSDATE, '10.6.100.63');</v>
      </c>
      <c r="AA56" s="12" t="str">
        <f t="shared" si="8"/>
        <v>INSERT INTO sy_perm_list (USER_CD, OPT_CD, ACCESS_TYPE, BRANCH_CODE, CLASS_CODE, ENT_BY, ENT_DATE, ENT_BY_IP)</v>
      </c>
      <c r="AB56" s="12" t="str">
        <f>"VALUES('"&amp;B56&amp;"','Client.aspx', 'USER', '01', '08', 'ABDUL', SYSDATE, '10.6.100.63');"</f>
        <v>VALUES('088007201','Client.aspx', 'USER', '01', '08', 'ABDUL', SYSDATE, '10.6.100.63');</v>
      </c>
      <c r="AC56" s="12" t="str">
        <f t="shared" si="10"/>
        <v>INSERT INTO sy_perm_list (USER_CD, OPT_CD, ACCESS_TYPE, BRANCH_CODE, CLASS_CODE, ENT_BY, ENT_DATE, ENT_BY_IP)</v>
      </c>
      <c r="AD56" s="12" t="str">
        <f>"VALUES('"&amp;B56&amp;"','ClientReports.aspx', 'USER', '01', '08', 'ABDUL', SYSDATE, '10.6.100.63');"</f>
        <v>VALUES('088007201','ClientReports.aspx', 'USER', '01', '08', 'ABDUL', SYSDATE, '10.6.100.63');</v>
      </c>
      <c r="AE56" s="12" t="str">
        <f t="shared" si="12"/>
        <v>INSERT INTO sy_perm_list (USER_CD, OPT_CD, ACCESS_TYPE, BRANCH_CODE, CLASS_CODE, ENT_BY, ENT_DATE, ENT_BY_IP)</v>
      </c>
      <c r="AF56" s="12" t="str">
        <f>"VALUES('"&amp;B56&amp;"','ClientRequests.aspx', 'USER', '01', '08', 'ABDUL', SYSDATE, '10.6.100.63');"</f>
        <v>VALUES('088007201','ClientRequests.aspx', 'USER', '01', '08', 'ABDUL', SYSDATE, '10.6.100.63');</v>
      </c>
      <c r="AG56" s="12" t="str">
        <f t="shared" si="14"/>
        <v>INSERT INTO sy_perm_list (USER_CD, OPT_CD, ACCESS_TYPE, BRANCH_CODE, CLASS_CODE, ENT_BY, ENT_DATE, ENT_BY_IP)</v>
      </c>
      <c r="AH56" s="12" t="str">
        <f>"VALUES('"&amp;B56&amp;"','HealthLife.aspx', 'USER', '01', '08', 'ABDUL', SYSDATE, '10.6.100.63');"</f>
        <v>VALUES('088007201','HealthLife.aspx', 'USER', '01', '08', 'ABDUL', SYSDATE, '10.6.100.63');</v>
      </c>
      <c r="AI56" s="12" t="str">
        <f t="shared" si="16"/>
        <v>INSERT INTO sy_perm_list (USER_CD, OPT_CD, ACCESS_TYPE, BRANCH_CODE, CLASS_CODE, ENT_BY, ENT_DATE, ENT_BY_IP)</v>
      </c>
      <c r="AJ56" s="12" t="str">
        <f>"VALUES('"&amp;B56&amp;"','IpdClaim.aspx', 'USER', '01', '08', 'ABDUL', SYSDATE, '10.6.100.63');"</f>
        <v>VALUES('088007201','IpdClaim.aspx', 'USER', '01', '08', 'ABDUL', SYSDATE, '10.6.100.63');</v>
      </c>
      <c r="AK56" s="12" t="str">
        <f t="shared" si="18"/>
        <v>INSERT INTO sy_perm_list (USER_CD, OPT_CD, ACCESS_TYPE, BRANCH_CODE, CLASS_CODE, ENT_BY, ENT_DATE, ENT_BY_IP)</v>
      </c>
      <c r="AL56" s="12" t="str">
        <f>"VALUES('"&amp;B56&amp;"','OpdClaim.aspx', 'USER', '01', '08', 'ABDUL', SYSDATE, '10.6.100.63');"</f>
        <v>VALUES('088007201','OpdClaim.aspx', 'USER', '01', '08', 'ABDUL', SYSDATE, '10.6.100.63');</v>
      </c>
      <c r="AM56" s="12" t="str">
        <f t="shared" si="20"/>
        <v>INSERT INTO sy_perm_list (USER_CD, OPT_CD, ACCESS_TYPE, BRANCH_CODE, CLASS_CODE, ENT_BY, ENT_DATE, ENT_BY_IP)</v>
      </c>
      <c r="AN56" s="12" t="str">
        <f>"VALUES('"&amp;B56&amp;"','RequestDetails.aspx', 'USER', '01', '08', 'ABDUL', SYSDATE, '10.6.100.63');"</f>
        <v>VALUES('088007201','RequestDetails.aspx', 'USER', '01', '08', 'ABDUL', SYSDATE, '10.6.100.63');</v>
      </c>
      <c r="AO56" s="12" t="str">
        <f t="shared" si="22"/>
        <v>INSERT INTO sy_perm_list (USER_CD, OPT_CD, ACCESS_TYPE, BRANCH_CODE, CLASS_CODE, ENT_BY, ENT_DATE, ENT_BY_IP)</v>
      </c>
      <c r="AP56" s="12" t="str">
        <f>"VALUES('"&amp;B56&amp;"','TodaysRequest.aspx', 'USER', '01', '08', 'ABDUL', SYSDATE, '10.6.100.63');"</f>
        <v>VALUES('088007201','TodaysRequest.aspx', 'USER', '01', '08', 'ABDUL', SYSDATE, '10.6.100.63');</v>
      </c>
    </row>
    <row r="57" spans="1:42" s="6" customFormat="1" ht="76.5" x14ac:dyDescent="0.2">
      <c r="A57" s="4">
        <v>46</v>
      </c>
      <c r="B57" s="5" t="s">
        <v>697</v>
      </c>
      <c r="C57" s="5">
        <v>9000204</v>
      </c>
      <c r="D57" s="6" t="s">
        <v>437</v>
      </c>
      <c r="E57" s="6" t="s">
        <v>299</v>
      </c>
      <c r="F57" s="5" t="s">
        <v>287</v>
      </c>
      <c r="G57" s="6" t="s">
        <v>288</v>
      </c>
      <c r="H57" s="5" t="s">
        <v>649</v>
      </c>
      <c r="I57" s="5">
        <v>726</v>
      </c>
      <c r="J57" s="5" t="s">
        <v>438</v>
      </c>
      <c r="K57" s="6" t="s">
        <v>4</v>
      </c>
      <c r="L57" s="6" t="s">
        <v>125</v>
      </c>
      <c r="M57" s="6" t="s">
        <v>124</v>
      </c>
      <c r="N57" s="7">
        <v>44197</v>
      </c>
      <c r="O57" s="7">
        <v>44196</v>
      </c>
      <c r="P57" s="7">
        <v>44560</v>
      </c>
      <c r="Q57" s="8">
        <v>20</v>
      </c>
      <c r="R57" s="8">
        <v>41</v>
      </c>
      <c r="S5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57" s="12" t="str">
        <f t="shared" si="1"/>
        <v>VALUES('08800516','ECHO DIGITAL (PVT) LTD','Salaam@123','Y','N',sysdate,'016', 'C', 'Client', 'sumaya.hafeez@echodmc.com','01','B', '08', 'ABDUL', sysdate, '10.6.100.63', '08800516');</v>
      </c>
      <c r="U57" s="12" t="str">
        <f t="shared" si="2"/>
        <v>INSERT INTO sy_user_branches (USER_CD, BRANCH_CODE, CLASS_CODE, ENT_BY, ENT_DATE, ENT_BY_IP)</v>
      </c>
      <c r="V57" s="12" t="str">
        <f t="shared" si="3"/>
        <v>values('08800516','01', '08', 'ABDUL', sysdate, '10.6.100.63');</v>
      </c>
      <c r="W57" s="12" t="str">
        <f t="shared" si="4"/>
        <v>INSERT INTO sy_perm_list (USER_CD, OPT_CD, ACCESS_TYPE, BRANCH_CODE, CLASS_CODE, ENT_BY, ENT_DATE, ENT_BY_IP)</v>
      </c>
      <c r="X57" s="12" t="str">
        <f t="shared" si="5"/>
        <v>VALUES('08800516','ClaimComments.aspx', 'USER', '01', '08', 'ABDUL', SYSDATE, '10.6.100.63');</v>
      </c>
      <c r="Y57" s="12" t="str">
        <f t="shared" si="6"/>
        <v>INSERT INTO sy_perm_list (USER_CD, OPT_CD, ACCESS_TYPE, BRANCH_CODE, CLASS_CODE, ENT_BY, ENT_DATE, ENT_BY_IP)</v>
      </c>
      <c r="Z57" s="12" t="str">
        <f t="shared" si="7"/>
        <v>VALUES('08800516','ClaimDocs.aspx', 'USER', '01', '08', 'ABDUL', SYSDATE, '10.6.100.63');</v>
      </c>
      <c r="AA57" s="12" t="str">
        <f t="shared" si="8"/>
        <v>INSERT INTO sy_perm_list (USER_CD, OPT_CD, ACCESS_TYPE, BRANCH_CODE, CLASS_CODE, ENT_BY, ENT_DATE, ENT_BY_IP)</v>
      </c>
      <c r="AB57" s="12" t="str">
        <f t="shared" si="9"/>
        <v>VALUES('08800516','Client.aspx', 'USER', '01', '08', 'ABDUL', SYSDATE, '10.6.100.63');</v>
      </c>
      <c r="AC57" s="12" t="str">
        <f t="shared" si="10"/>
        <v>INSERT INTO sy_perm_list (USER_CD, OPT_CD, ACCESS_TYPE, BRANCH_CODE, CLASS_CODE, ENT_BY, ENT_DATE, ENT_BY_IP)</v>
      </c>
      <c r="AD57" s="12" t="str">
        <f t="shared" si="11"/>
        <v>VALUES('08800516','ClientReports.aspx', 'USER', '01', '08', 'ABDUL', SYSDATE, '10.6.100.63');</v>
      </c>
      <c r="AE57" s="12" t="str">
        <f t="shared" si="12"/>
        <v>INSERT INTO sy_perm_list (USER_CD, OPT_CD, ACCESS_TYPE, BRANCH_CODE, CLASS_CODE, ENT_BY, ENT_DATE, ENT_BY_IP)</v>
      </c>
      <c r="AF57" s="12" t="str">
        <f t="shared" si="13"/>
        <v>VALUES('08800516','ClientRequests.aspx', 'USER', '01', '08', 'ABDUL', SYSDATE, '10.6.100.63');</v>
      </c>
      <c r="AG57" s="12" t="str">
        <f t="shared" si="14"/>
        <v>INSERT INTO sy_perm_list (USER_CD, OPT_CD, ACCESS_TYPE, BRANCH_CODE, CLASS_CODE, ENT_BY, ENT_DATE, ENT_BY_IP)</v>
      </c>
      <c r="AH57" s="12" t="str">
        <f t="shared" si="15"/>
        <v>VALUES('08800516','HealthLife.aspx', 'USER', '01', '08', 'ABDUL', SYSDATE, '10.6.100.63');</v>
      </c>
      <c r="AI57" s="12" t="str">
        <f t="shared" si="16"/>
        <v>INSERT INTO sy_perm_list (USER_CD, OPT_CD, ACCESS_TYPE, BRANCH_CODE, CLASS_CODE, ENT_BY, ENT_DATE, ENT_BY_IP)</v>
      </c>
      <c r="AJ57" s="12" t="str">
        <f t="shared" si="17"/>
        <v>VALUES('08800516','IpdClaim.aspx', 'USER', '01', '08', 'ABDUL', SYSDATE, '10.6.100.63');</v>
      </c>
      <c r="AK57" s="12" t="str">
        <f t="shared" si="18"/>
        <v>INSERT INTO sy_perm_list (USER_CD, OPT_CD, ACCESS_TYPE, BRANCH_CODE, CLASS_CODE, ENT_BY, ENT_DATE, ENT_BY_IP)</v>
      </c>
      <c r="AL57" s="12" t="str">
        <f t="shared" si="19"/>
        <v>VALUES('08800516','OpdClaim.aspx', 'USER', '01', '08', 'ABDUL', SYSDATE, '10.6.100.63');</v>
      </c>
      <c r="AM57" s="12" t="str">
        <f t="shared" si="20"/>
        <v>INSERT INTO sy_perm_list (USER_CD, OPT_CD, ACCESS_TYPE, BRANCH_CODE, CLASS_CODE, ENT_BY, ENT_DATE, ENT_BY_IP)</v>
      </c>
      <c r="AN57" s="12" t="str">
        <f t="shared" si="21"/>
        <v>VALUES('08800516','RequestDetails.aspx', 'USER', '01', '08', 'ABDUL', SYSDATE, '10.6.100.63');</v>
      </c>
      <c r="AO57" s="12" t="str">
        <f t="shared" si="22"/>
        <v>INSERT INTO sy_perm_list (USER_CD, OPT_CD, ACCESS_TYPE, BRANCH_CODE, CLASS_CODE, ENT_BY, ENT_DATE, ENT_BY_IP)</v>
      </c>
      <c r="AP57" s="12" t="str">
        <f t="shared" si="23"/>
        <v>VALUES('08800516','TodaysRequest.aspx', 'USER', '01', '08', 'ABDUL', SYSDATE, '10.6.100.63');</v>
      </c>
    </row>
    <row r="58" spans="1:42" s="6" customFormat="1" ht="15.75" thickBot="1" x14ac:dyDescent="0.25">
      <c r="A58" s="4"/>
      <c r="B58" s="5" t="s">
        <v>697</v>
      </c>
      <c r="C58" s="5">
        <v>9000204</v>
      </c>
      <c r="D58" s="6" t="s">
        <v>437</v>
      </c>
      <c r="E58" s="6" t="s">
        <v>299</v>
      </c>
      <c r="F58" s="5" t="s">
        <v>287</v>
      </c>
      <c r="G58" s="6" t="s">
        <v>288</v>
      </c>
      <c r="H58" s="5" t="s">
        <v>649</v>
      </c>
      <c r="I58" s="5">
        <v>1440</v>
      </c>
      <c r="J58" s="46" t="s">
        <v>1360</v>
      </c>
      <c r="K58" s="46" t="s">
        <v>4</v>
      </c>
      <c r="L58" s="6" t="s">
        <v>125</v>
      </c>
      <c r="M58" s="6" t="s">
        <v>124</v>
      </c>
      <c r="N58" s="7"/>
      <c r="O58" s="7"/>
      <c r="P58" s="7"/>
      <c r="Q58" s="8"/>
      <c r="R58" s="8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</row>
    <row r="59" spans="1:42" s="6" customFormat="1" ht="76.5" x14ac:dyDescent="0.2">
      <c r="A59" s="4">
        <v>47</v>
      </c>
      <c r="B59" s="5" t="s">
        <v>698</v>
      </c>
      <c r="C59" s="5">
        <v>9000241</v>
      </c>
      <c r="D59" s="6" t="s">
        <v>296</v>
      </c>
      <c r="E59" s="6" t="s">
        <v>290</v>
      </c>
      <c r="F59" s="5" t="s">
        <v>287</v>
      </c>
      <c r="G59" s="6" t="s">
        <v>288</v>
      </c>
      <c r="H59" s="5" t="s">
        <v>649</v>
      </c>
      <c r="I59" s="5">
        <v>763</v>
      </c>
      <c r="J59" s="5" t="s">
        <v>480</v>
      </c>
      <c r="K59" s="6" t="s">
        <v>155</v>
      </c>
      <c r="L59" s="6" t="s">
        <v>156</v>
      </c>
      <c r="M59" s="6" t="s">
        <v>157</v>
      </c>
      <c r="N59" s="7">
        <v>44235</v>
      </c>
      <c r="O59" s="7">
        <v>44232</v>
      </c>
      <c r="P59" s="7">
        <v>44596</v>
      </c>
      <c r="Q59" s="8">
        <v>26</v>
      </c>
      <c r="R59" s="8">
        <v>76</v>
      </c>
      <c r="S5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59" s="12" t="str">
        <f t="shared" si="1"/>
        <v>VALUES('08003748','EFROTECH SERVICES','Salaam@123','Y','N',sysdate,'016', 'C', 'Client', 'adil.kaleem@efrotech.com ','01','B', '08', 'ABDUL', sysdate, '10.6.100.63', '08003748');</v>
      </c>
      <c r="U59" s="12" t="str">
        <f t="shared" si="2"/>
        <v>INSERT INTO sy_user_branches (USER_CD, BRANCH_CODE, CLASS_CODE, ENT_BY, ENT_DATE, ENT_BY_IP)</v>
      </c>
      <c r="V59" s="12" t="str">
        <f t="shared" si="3"/>
        <v>values('08003748','01', '08', 'ABDUL', sysdate, '10.6.100.63');</v>
      </c>
      <c r="W59" s="12" t="str">
        <f t="shared" si="4"/>
        <v>INSERT INTO sy_perm_list (USER_CD, OPT_CD, ACCESS_TYPE, BRANCH_CODE, CLASS_CODE, ENT_BY, ENT_DATE, ENT_BY_IP)</v>
      </c>
      <c r="X59" s="12" t="str">
        <f t="shared" si="5"/>
        <v>VALUES('08003748','ClaimComments.aspx', 'USER', '01', '08', 'ABDUL', SYSDATE, '10.6.100.63');</v>
      </c>
      <c r="Y59" s="12" t="str">
        <f t="shared" si="6"/>
        <v>INSERT INTO sy_perm_list (USER_CD, OPT_CD, ACCESS_TYPE, BRANCH_CODE, CLASS_CODE, ENT_BY, ENT_DATE, ENT_BY_IP)</v>
      </c>
      <c r="Z59" s="12" t="str">
        <f t="shared" si="7"/>
        <v>VALUES('08003748','ClaimDocs.aspx', 'USER', '01', '08', 'ABDUL', SYSDATE, '10.6.100.63');</v>
      </c>
      <c r="AA59" s="12" t="str">
        <f t="shared" si="8"/>
        <v>INSERT INTO sy_perm_list (USER_CD, OPT_CD, ACCESS_TYPE, BRANCH_CODE, CLASS_CODE, ENT_BY, ENT_DATE, ENT_BY_IP)</v>
      </c>
      <c r="AB59" s="12" t="str">
        <f t="shared" si="9"/>
        <v>VALUES('08003748','Client.aspx', 'USER', '01', '08', 'ABDUL', SYSDATE, '10.6.100.63');</v>
      </c>
      <c r="AC59" s="12" t="str">
        <f t="shared" si="10"/>
        <v>INSERT INTO sy_perm_list (USER_CD, OPT_CD, ACCESS_TYPE, BRANCH_CODE, CLASS_CODE, ENT_BY, ENT_DATE, ENT_BY_IP)</v>
      </c>
      <c r="AD59" s="12" t="str">
        <f t="shared" si="11"/>
        <v>VALUES('08003748','ClientReports.aspx', 'USER', '01', '08', 'ABDUL', SYSDATE, '10.6.100.63');</v>
      </c>
      <c r="AE59" s="12" t="str">
        <f t="shared" si="12"/>
        <v>INSERT INTO sy_perm_list (USER_CD, OPT_CD, ACCESS_TYPE, BRANCH_CODE, CLASS_CODE, ENT_BY, ENT_DATE, ENT_BY_IP)</v>
      </c>
      <c r="AF59" s="12" t="str">
        <f t="shared" si="13"/>
        <v>VALUES('08003748','ClientRequests.aspx', 'USER', '01', '08', 'ABDUL', SYSDATE, '10.6.100.63');</v>
      </c>
      <c r="AG59" s="12" t="str">
        <f t="shared" si="14"/>
        <v>INSERT INTO sy_perm_list (USER_CD, OPT_CD, ACCESS_TYPE, BRANCH_CODE, CLASS_CODE, ENT_BY, ENT_DATE, ENT_BY_IP)</v>
      </c>
      <c r="AH59" s="12" t="str">
        <f t="shared" si="15"/>
        <v>VALUES('08003748','HealthLife.aspx', 'USER', '01', '08', 'ABDUL', SYSDATE, '10.6.100.63');</v>
      </c>
      <c r="AI59" s="12" t="str">
        <f t="shared" si="16"/>
        <v>INSERT INTO sy_perm_list (USER_CD, OPT_CD, ACCESS_TYPE, BRANCH_CODE, CLASS_CODE, ENT_BY, ENT_DATE, ENT_BY_IP)</v>
      </c>
      <c r="AJ59" s="12" t="str">
        <f t="shared" si="17"/>
        <v>VALUES('08003748','IpdClaim.aspx', 'USER', '01', '08', 'ABDUL', SYSDATE, '10.6.100.63');</v>
      </c>
      <c r="AK59" s="12" t="str">
        <f t="shared" si="18"/>
        <v>INSERT INTO sy_perm_list (USER_CD, OPT_CD, ACCESS_TYPE, BRANCH_CODE, CLASS_CODE, ENT_BY, ENT_DATE, ENT_BY_IP)</v>
      </c>
      <c r="AL59" s="12" t="str">
        <f t="shared" si="19"/>
        <v>VALUES('08003748','OpdClaim.aspx', 'USER', '01', '08', 'ABDUL', SYSDATE, '10.6.100.63');</v>
      </c>
      <c r="AM59" s="12" t="str">
        <f t="shared" si="20"/>
        <v>INSERT INTO sy_perm_list (USER_CD, OPT_CD, ACCESS_TYPE, BRANCH_CODE, CLASS_CODE, ENT_BY, ENT_DATE, ENT_BY_IP)</v>
      </c>
      <c r="AN59" s="12" t="str">
        <f t="shared" si="21"/>
        <v>VALUES('08003748','RequestDetails.aspx', 'USER', '01', '08', 'ABDUL', SYSDATE, '10.6.100.63');</v>
      </c>
      <c r="AO59" s="12" t="str">
        <f t="shared" si="22"/>
        <v>INSERT INTO sy_perm_list (USER_CD, OPT_CD, ACCESS_TYPE, BRANCH_CODE, CLASS_CODE, ENT_BY, ENT_DATE, ENT_BY_IP)</v>
      </c>
      <c r="AP59" s="12" t="str">
        <f t="shared" si="23"/>
        <v>VALUES('08003748','TodaysRequest.aspx', 'USER', '01', '08', 'ABDUL', SYSDATE, '10.6.100.63');</v>
      </c>
    </row>
    <row r="60" spans="1:42" s="6" customFormat="1" ht="76.5" x14ac:dyDescent="0.2">
      <c r="A60" s="4">
        <v>48</v>
      </c>
      <c r="B60" s="5" t="s">
        <v>699</v>
      </c>
      <c r="C60" s="5">
        <v>9000221</v>
      </c>
      <c r="D60" s="6" t="s">
        <v>285</v>
      </c>
      <c r="E60" s="6" t="s">
        <v>286</v>
      </c>
      <c r="F60" s="5" t="s">
        <v>287</v>
      </c>
      <c r="G60" s="6" t="s">
        <v>288</v>
      </c>
      <c r="H60" s="5" t="s">
        <v>650</v>
      </c>
      <c r="I60" s="5">
        <v>771</v>
      </c>
      <c r="J60" s="5" t="s">
        <v>490</v>
      </c>
      <c r="K60" s="6" t="s">
        <v>491</v>
      </c>
      <c r="L60" s="6" t="s">
        <v>579</v>
      </c>
      <c r="M60" s="6" t="s">
        <v>580</v>
      </c>
      <c r="N60" s="7">
        <v>44244</v>
      </c>
      <c r="O60" s="7">
        <v>44237</v>
      </c>
      <c r="P60" s="7">
        <v>44601</v>
      </c>
      <c r="Q60" s="8">
        <v>65</v>
      </c>
      <c r="R60" s="8">
        <v>167</v>
      </c>
      <c r="S6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0" s="12" t="str">
        <f t="shared" si="1"/>
        <v>VALUES('08801229','ELITE TECHLOGIX','Salaam@123','Y','N',sysdate,'016', 'C', 'Client', 'INFO@ELITETECHNOLOGIX.COM','01','B', '08', 'ABDUL', sysdate, '10.6.100.63', '08801229');</v>
      </c>
      <c r="U60" s="12" t="str">
        <f t="shared" si="2"/>
        <v>INSERT INTO sy_user_branches (USER_CD, BRANCH_CODE, CLASS_CODE, ENT_BY, ENT_DATE, ENT_BY_IP)</v>
      </c>
      <c r="V60" s="12" t="str">
        <f t="shared" si="3"/>
        <v>values('08801229','01', '08', 'ABDUL', sysdate, '10.6.100.63');</v>
      </c>
      <c r="W60" s="12" t="str">
        <f t="shared" si="4"/>
        <v>INSERT INTO sy_perm_list (USER_CD, OPT_CD, ACCESS_TYPE, BRANCH_CODE, CLASS_CODE, ENT_BY, ENT_DATE, ENT_BY_IP)</v>
      </c>
      <c r="X60" s="12" t="str">
        <f t="shared" si="5"/>
        <v>VALUES('08801229','ClaimComments.aspx', 'USER', '01', '08', 'ABDUL', SYSDATE, '10.6.100.63');</v>
      </c>
      <c r="Y60" s="12" t="str">
        <f t="shared" si="6"/>
        <v>INSERT INTO sy_perm_list (USER_CD, OPT_CD, ACCESS_TYPE, BRANCH_CODE, CLASS_CODE, ENT_BY, ENT_DATE, ENT_BY_IP)</v>
      </c>
      <c r="Z60" s="12" t="str">
        <f t="shared" si="7"/>
        <v>VALUES('08801229','ClaimDocs.aspx', 'USER', '01', '08', 'ABDUL', SYSDATE, '10.6.100.63');</v>
      </c>
      <c r="AA60" s="12" t="str">
        <f t="shared" si="8"/>
        <v>INSERT INTO sy_perm_list (USER_CD, OPT_CD, ACCESS_TYPE, BRANCH_CODE, CLASS_CODE, ENT_BY, ENT_DATE, ENT_BY_IP)</v>
      </c>
      <c r="AB60" s="12" t="str">
        <f t="shared" si="9"/>
        <v>VALUES('08801229','Client.aspx', 'USER', '01', '08', 'ABDUL', SYSDATE, '10.6.100.63');</v>
      </c>
      <c r="AC60" s="12" t="str">
        <f t="shared" si="10"/>
        <v>INSERT INTO sy_perm_list (USER_CD, OPT_CD, ACCESS_TYPE, BRANCH_CODE, CLASS_CODE, ENT_BY, ENT_DATE, ENT_BY_IP)</v>
      </c>
      <c r="AD60" s="12" t="str">
        <f t="shared" si="11"/>
        <v>VALUES('08801229','ClientReports.aspx', 'USER', '01', '08', 'ABDUL', SYSDATE, '10.6.100.63');</v>
      </c>
      <c r="AE60" s="12" t="str">
        <f t="shared" si="12"/>
        <v>INSERT INTO sy_perm_list (USER_CD, OPT_CD, ACCESS_TYPE, BRANCH_CODE, CLASS_CODE, ENT_BY, ENT_DATE, ENT_BY_IP)</v>
      </c>
      <c r="AF60" s="12" t="str">
        <f t="shared" si="13"/>
        <v>VALUES('08801229','ClientRequests.aspx', 'USER', '01', '08', 'ABDUL', SYSDATE, '10.6.100.63');</v>
      </c>
      <c r="AG60" s="12" t="str">
        <f t="shared" si="14"/>
        <v>INSERT INTO sy_perm_list (USER_CD, OPT_CD, ACCESS_TYPE, BRANCH_CODE, CLASS_CODE, ENT_BY, ENT_DATE, ENT_BY_IP)</v>
      </c>
      <c r="AH60" s="12" t="str">
        <f t="shared" si="15"/>
        <v>VALUES('08801229','HealthLife.aspx', 'USER', '01', '08', 'ABDUL', SYSDATE, '10.6.100.63');</v>
      </c>
      <c r="AI60" s="12" t="str">
        <f t="shared" si="16"/>
        <v>INSERT INTO sy_perm_list (USER_CD, OPT_CD, ACCESS_TYPE, BRANCH_CODE, CLASS_CODE, ENT_BY, ENT_DATE, ENT_BY_IP)</v>
      </c>
      <c r="AJ60" s="12" t="str">
        <f t="shared" si="17"/>
        <v>VALUES('08801229','IpdClaim.aspx', 'USER', '01', '08', 'ABDUL', SYSDATE, '10.6.100.63');</v>
      </c>
      <c r="AK60" s="12" t="str">
        <f t="shared" si="18"/>
        <v>INSERT INTO sy_perm_list (USER_CD, OPT_CD, ACCESS_TYPE, BRANCH_CODE, CLASS_CODE, ENT_BY, ENT_DATE, ENT_BY_IP)</v>
      </c>
      <c r="AL60" s="12" t="str">
        <f t="shared" si="19"/>
        <v>VALUES('08801229','OpdClaim.aspx', 'USER', '01', '08', 'ABDUL', SYSDATE, '10.6.100.63');</v>
      </c>
      <c r="AM60" s="12" t="str">
        <f t="shared" si="20"/>
        <v>INSERT INTO sy_perm_list (USER_CD, OPT_CD, ACCESS_TYPE, BRANCH_CODE, CLASS_CODE, ENT_BY, ENT_DATE, ENT_BY_IP)</v>
      </c>
      <c r="AN60" s="12" t="str">
        <f t="shared" si="21"/>
        <v>VALUES('08801229','RequestDetails.aspx', 'USER', '01', '08', 'ABDUL', SYSDATE, '10.6.100.63');</v>
      </c>
      <c r="AO60" s="12" t="str">
        <f t="shared" si="22"/>
        <v>INSERT INTO sy_perm_list (USER_CD, OPT_CD, ACCESS_TYPE, BRANCH_CODE, CLASS_CODE, ENT_BY, ENT_DATE, ENT_BY_IP)</v>
      </c>
      <c r="AP60" s="12" t="str">
        <f t="shared" si="23"/>
        <v>VALUES('08801229','TodaysRequest.aspx', 'USER', '01', '08', 'ABDUL', SYSDATE, '10.6.100.63');</v>
      </c>
    </row>
    <row r="61" spans="1:42" s="6" customFormat="1" ht="76.5" x14ac:dyDescent="0.2">
      <c r="A61" s="4">
        <v>49</v>
      </c>
      <c r="B61" s="5" t="s">
        <v>700</v>
      </c>
      <c r="C61" s="5">
        <v>9000221</v>
      </c>
      <c r="D61" s="6" t="s">
        <v>285</v>
      </c>
      <c r="E61" s="6" t="s">
        <v>286</v>
      </c>
      <c r="F61" s="5" t="s">
        <v>287</v>
      </c>
      <c r="G61" s="6" t="s">
        <v>288</v>
      </c>
      <c r="H61" s="5" t="s">
        <v>649</v>
      </c>
      <c r="I61" s="5">
        <v>750</v>
      </c>
      <c r="J61" s="5" t="s">
        <v>461</v>
      </c>
      <c r="K61" s="6" t="s">
        <v>462</v>
      </c>
      <c r="L61" s="6" t="s">
        <v>158</v>
      </c>
      <c r="M61" s="6" t="s">
        <v>159</v>
      </c>
      <c r="N61" s="7">
        <v>44225</v>
      </c>
      <c r="O61" s="7">
        <v>44224</v>
      </c>
      <c r="P61" s="7">
        <v>44588</v>
      </c>
      <c r="Q61" s="8">
        <v>85</v>
      </c>
      <c r="R61" s="8">
        <v>209</v>
      </c>
      <c r="S61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1" s="12" t="str">
        <f t="shared" si="1"/>
        <v>VALUES('08801192','EPLA LABORATORIES (PRIVATE) LIMITED','Salaam@123','Y','N',sysdate,'016', 'C', 'Client', 'kakhter@epla-labs.com','01','B', '08', 'ABDUL', sysdate, '10.6.100.63', '08801192');</v>
      </c>
      <c r="U61" s="12" t="str">
        <f t="shared" si="2"/>
        <v>INSERT INTO sy_user_branches (USER_CD, BRANCH_CODE, CLASS_CODE, ENT_BY, ENT_DATE, ENT_BY_IP)</v>
      </c>
      <c r="V61" s="12" t="str">
        <f t="shared" si="3"/>
        <v>values('08801192','01', '08', 'ABDUL', sysdate, '10.6.100.63');</v>
      </c>
      <c r="W61" s="12" t="str">
        <f t="shared" si="4"/>
        <v>INSERT INTO sy_perm_list (USER_CD, OPT_CD, ACCESS_TYPE, BRANCH_CODE, CLASS_CODE, ENT_BY, ENT_DATE, ENT_BY_IP)</v>
      </c>
      <c r="X61" s="12" t="str">
        <f t="shared" si="5"/>
        <v>VALUES('08801192','ClaimComments.aspx', 'USER', '01', '08', 'ABDUL', SYSDATE, '10.6.100.63');</v>
      </c>
      <c r="Y61" s="12" t="str">
        <f t="shared" si="6"/>
        <v>INSERT INTO sy_perm_list (USER_CD, OPT_CD, ACCESS_TYPE, BRANCH_CODE, CLASS_CODE, ENT_BY, ENT_DATE, ENT_BY_IP)</v>
      </c>
      <c r="Z61" s="12" t="str">
        <f t="shared" si="7"/>
        <v>VALUES('08801192','ClaimDocs.aspx', 'USER', '01', '08', 'ABDUL', SYSDATE, '10.6.100.63');</v>
      </c>
      <c r="AA61" s="12" t="str">
        <f t="shared" si="8"/>
        <v>INSERT INTO sy_perm_list (USER_CD, OPT_CD, ACCESS_TYPE, BRANCH_CODE, CLASS_CODE, ENT_BY, ENT_DATE, ENT_BY_IP)</v>
      </c>
      <c r="AB61" s="12" t="str">
        <f t="shared" si="9"/>
        <v>VALUES('08801192','Client.aspx', 'USER', '01', '08', 'ABDUL', SYSDATE, '10.6.100.63');</v>
      </c>
      <c r="AC61" s="12" t="str">
        <f t="shared" si="10"/>
        <v>INSERT INTO sy_perm_list (USER_CD, OPT_CD, ACCESS_TYPE, BRANCH_CODE, CLASS_CODE, ENT_BY, ENT_DATE, ENT_BY_IP)</v>
      </c>
      <c r="AD61" s="12" t="str">
        <f t="shared" si="11"/>
        <v>VALUES('08801192','ClientReports.aspx', 'USER', '01', '08', 'ABDUL', SYSDATE, '10.6.100.63');</v>
      </c>
      <c r="AE61" s="12" t="str">
        <f t="shared" si="12"/>
        <v>INSERT INTO sy_perm_list (USER_CD, OPT_CD, ACCESS_TYPE, BRANCH_CODE, CLASS_CODE, ENT_BY, ENT_DATE, ENT_BY_IP)</v>
      </c>
      <c r="AF61" s="12" t="str">
        <f t="shared" si="13"/>
        <v>VALUES('08801192','ClientRequests.aspx', 'USER', '01', '08', 'ABDUL', SYSDATE, '10.6.100.63');</v>
      </c>
      <c r="AG61" s="12" t="str">
        <f t="shared" si="14"/>
        <v>INSERT INTO sy_perm_list (USER_CD, OPT_CD, ACCESS_TYPE, BRANCH_CODE, CLASS_CODE, ENT_BY, ENT_DATE, ENT_BY_IP)</v>
      </c>
      <c r="AH61" s="12" t="str">
        <f t="shared" si="15"/>
        <v>VALUES('08801192','HealthLife.aspx', 'USER', '01', '08', 'ABDUL', SYSDATE, '10.6.100.63');</v>
      </c>
      <c r="AI61" s="12" t="str">
        <f t="shared" si="16"/>
        <v>INSERT INTO sy_perm_list (USER_CD, OPT_CD, ACCESS_TYPE, BRANCH_CODE, CLASS_CODE, ENT_BY, ENT_DATE, ENT_BY_IP)</v>
      </c>
      <c r="AJ61" s="12" t="str">
        <f t="shared" si="17"/>
        <v>VALUES('08801192','IpdClaim.aspx', 'USER', '01', '08', 'ABDUL', SYSDATE, '10.6.100.63');</v>
      </c>
      <c r="AK61" s="12" t="str">
        <f t="shared" si="18"/>
        <v>INSERT INTO sy_perm_list (USER_CD, OPT_CD, ACCESS_TYPE, BRANCH_CODE, CLASS_CODE, ENT_BY, ENT_DATE, ENT_BY_IP)</v>
      </c>
      <c r="AL61" s="12" t="str">
        <f t="shared" si="19"/>
        <v>VALUES('08801192','OpdClaim.aspx', 'USER', '01', '08', 'ABDUL', SYSDATE, '10.6.100.63');</v>
      </c>
      <c r="AM61" s="12" t="str">
        <f t="shared" si="20"/>
        <v>INSERT INTO sy_perm_list (USER_CD, OPT_CD, ACCESS_TYPE, BRANCH_CODE, CLASS_CODE, ENT_BY, ENT_DATE, ENT_BY_IP)</v>
      </c>
      <c r="AN61" s="12" t="str">
        <f t="shared" si="21"/>
        <v>VALUES('08801192','RequestDetails.aspx', 'USER', '01', '08', 'ABDUL', SYSDATE, '10.6.100.63');</v>
      </c>
      <c r="AO61" s="12" t="str">
        <f t="shared" si="22"/>
        <v>INSERT INTO sy_perm_list (USER_CD, OPT_CD, ACCESS_TYPE, BRANCH_CODE, CLASS_CODE, ENT_BY, ENT_DATE, ENT_BY_IP)</v>
      </c>
      <c r="AP61" s="12" t="str">
        <f t="shared" si="23"/>
        <v>VALUES('08801192','TodaysRequest.aspx', 'USER', '01', '08', 'ABDUL', SYSDATE, '10.6.100.63');</v>
      </c>
    </row>
    <row r="62" spans="1:42" s="6" customFormat="1" ht="76.5" x14ac:dyDescent="0.2">
      <c r="A62" s="4">
        <v>50</v>
      </c>
      <c r="B62" s="5" t="s">
        <v>701</v>
      </c>
      <c r="C62" s="5">
        <v>9000249</v>
      </c>
      <c r="D62" s="6" t="s">
        <v>322</v>
      </c>
      <c r="E62" s="6" t="s">
        <v>299</v>
      </c>
      <c r="F62" s="5" t="s">
        <v>287</v>
      </c>
      <c r="G62" s="6" t="s">
        <v>288</v>
      </c>
      <c r="H62" s="5" t="s">
        <v>649</v>
      </c>
      <c r="I62" s="5">
        <v>571</v>
      </c>
      <c r="J62" s="5" t="s">
        <v>323</v>
      </c>
      <c r="K62" s="6" t="s">
        <v>324</v>
      </c>
      <c r="L62" s="6" t="s">
        <v>215</v>
      </c>
      <c r="M62" s="6" t="s">
        <v>216</v>
      </c>
      <c r="N62" s="7">
        <v>44034</v>
      </c>
      <c r="O62" s="7">
        <v>44013</v>
      </c>
      <c r="P62" s="7">
        <v>44377</v>
      </c>
      <c r="Q62" s="8">
        <v>451</v>
      </c>
      <c r="R62" s="8">
        <v>1258</v>
      </c>
      <c r="S62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2" s="12" t="str">
        <f t="shared" si="1"/>
        <v>VALUES('08801379','EY FORD RHODES','Salaam@123','Y','N',sysdate,'016', 'C', 'Client', 'yousuf.patel@pk.ey.com ','01','B', '08', 'ABDUL', sysdate, '10.6.100.63', '08801379');</v>
      </c>
      <c r="U62" s="12" t="str">
        <f t="shared" si="2"/>
        <v>INSERT INTO sy_user_branches (USER_CD, BRANCH_CODE, CLASS_CODE, ENT_BY, ENT_DATE, ENT_BY_IP)</v>
      </c>
      <c r="V62" s="12" t="str">
        <f t="shared" si="3"/>
        <v>values('08801379','01', '08', 'ABDUL', sysdate, '10.6.100.63');</v>
      </c>
      <c r="W62" s="12" t="str">
        <f t="shared" si="4"/>
        <v>INSERT INTO sy_perm_list (USER_CD, OPT_CD, ACCESS_TYPE, BRANCH_CODE, CLASS_CODE, ENT_BY, ENT_DATE, ENT_BY_IP)</v>
      </c>
      <c r="X62" s="12" t="str">
        <f t="shared" si="5"/>
        <v>VALUES('08801379','ClaimComments.aspx', 'USER', '01', '08', 'ABDUL', SYSDATE, '10.6.100.63');</v>
      </c>
      <c r="Y62" s="12" t="str">
        <f t="shared" si="6"/>
        <v>INSERT INTO sy_perm_list (USER_CD, OPT_CD, ACCESS_TYPE, BRANCH_CODE, CLASS_CODE, ENT_BY, ENT_DATE, ENT_BY_IP)</v>
      </c>
      <c r="Z62" s="12" t="str">
        <f t="shared" si="7"/>
        <v>VALUES('08801379','ClaimDocs.aspx', 'USER', '01', '08', 'ABDUL', SYSDATE, '10.6.100.63');</v>
      </c>
      <c r="AA62" s="12" t="str">
        <f t="shared" si="8"/>
        <v>INSERT INTO sy_perm_list (USER_CD, OPT_CD, ACCESS_TYPE, BRANCH_CODE, CLASS_CODE, ENT_BY, ENT_DATE, ENT_BY_IP)</v>
      </c>
      <c r="AB62" s="12" t="str">
        <f t="shared" si="9"/>
        <v>VALUES('08801379','Client.aspx', 'USER', '01', '08', 'ABDUL', SYSDATE, '10.6.100.63');</v>
      </c>
      <c r="AC62" s="12" t="str">
        <f t="shared" si="10"/>
        <v>INSERT INTO sy_perm_list (USER_CD, OPT_CD, ACCESS_TYPE, BRANCH_CODE, CLASS_CODE, ENT_BY, ENT_DATE, ENT_BY_IP)</v>
      </c>
      <c r="AD62" s="12" t="str">
        <f t="shared" si="11"/>
        <v>VALUES('08801379','ClientReports.aspx', 'USER', '01', '08', 'ABDUL', SYSDATE, '10.6.100.63');</v>
      </c>
      <c r="AE62" s="12" t="str">
        <f t="shared" si="12"/>
        <v>INSERT INTO sy_perm_list (USER_CD, OPT_CD, ACCESS_TYPE, BRANCH_CODE, CLASS_CODE, ENT_BY, ENT_DATE, ENT_BY_IP)</v>
      </c>
      <c r="AF62" s="12" t="str">
        <f t="shared" si="13"/>
        <v>VALUES('08801379','ClientRequests.aspx', 'USER', '01', '08', 'ABDUL', SYSDATE, '10.6.100.63');</v>
      </c>
      <c r="AG62" s="12" t="str">
        <f t="shared" si="14"/>
        <v>INSERT INTO sy_perm_list (USER_CD, OPT_CD, ACCESS_TYPE, BRANCH_CODE, CLASS_CODE, ENT_BY, ENT_DATE, ENT_BY_IP)</v>
      </c>
      <c r="AH62" s="12" t="str">
        <f t="shared" si="15"/>
        <v>VALUES('08801379','HealthLife.aspx', 'USER', '01', '08', 'ABDUL', SYSDATE, '10.6.100.63');</v>
      </c>
      <c r="AI62" s="12" t="str">
        <f t="shared" si="16"/>
        <v>INSERT INTO sy_perm_list (USER_CD, OPT_CD, ACCESS_TYPE, BRANCH_CODE, CLASS_CODE, ENT_BY, ENT_DATE, ENT_BY_IP)</v>
      </c>
      <c r="AJ62" s="12" t="str">
        <f t="shared" si="17"/>
        <v>VALUES('08801379','IpdClaim.aspx', 'USER', '01', '08', 'ABDUL', SYSDATE, '10.6.100.63');</v>
      </c>
      <c r="AK62" s="12" t="str">
        <f t="shared" si="18"/>
        <v>INSERT INTO sy_perm_list (USER_CD, OPT_CD, ACCESS_TYPE, BRANCH_CODE, CLASS_CODE, ENT_BY, ENT_DATE, ENT_BY_IP)</v>
      </c>
      <c r="AL62" s="12" t="str">
        <f t="shared" si="19"/>
        <v>VALUES('08801379','OpdClaim.aspx', 'USER', '01', '08', 'ABDUL', SYSDATE, '10.6.100.63');</v>
      </c>
      <c r="AM62" s="12" t="str">
        <f t="shared" si="20"/>
        <v>INSERT INTO sy_perm_list (USER_CD, OPT_CD, ACCESS_TYPE, BRANCH_CODE, CLASS_CODE, ENT_BY, ENT_DATE, ENT_BY_IP)</v>
      </c>
      <c r="AN62" s="12" t="str">
        <f t="shared" si="21"/>
        <v>VALUES('08801379','RequestDetails.aspx', 'USER', '01', '08', 'ABDUL', SYSDATE, '10.6.100.63');</v>
      </c>
      <c r="AO62" s="12" t="str">
        <f t="shared" si="22"/>
        <v>INSERT INTO sy_perm_list (USER_CD, OPT_CD, ACCESS_TYPE, BRANCH_CODE, CLASS_CODE, ENT_BY, ENT_DATE, ENT_BY_IP)</v>
      </c>
      <c r="AP62" s="12" t="str">
        <f t="shared" si="23"/>
        <v>VALUES('08801379','TodaysRequest.aspx', 'USER', '01', '08', 'ABDUL', SYSDATE, '10.6.100.63');</v>
      </c>
    </row>
    <row r="63" spans="1:42" s="6" customFormat="1" ht="76.5" x14ac:dyDescent="0.2">
      <c r="A63" s="4">
        <v>51</v>
      </c>
      <c r="B63" s="5" t="s">
        <v>702</v>
      </c>
      <c r="C63" s="5">
        <v>9000241</v>
      </c>
      <c r="D63" s="6" t="s">
        <v>296</v>
      </c>
      <c r="E63" s="6" t="s">
        <v>290</v>
      </c>
      <c r="F63" s="5" t="s">
        <v>287</v>
      </c>
      <c r="G63" s="6" t="s">
        <v>288</v>
      </c>
      <c r="H63" s="5" t="s">
        <v>649</v>
      </c>
      <c r="I63" s="5">
        <v>818</v>
      </c>
      <c r="J63" s="5" t="s">
        <v>553</v>
      </c>
      <c r="K63" s="6" t="s">
        <v>221</v>
      </c>
      <c r="L63" s="6" t="s">
        <v>222</v>
      </c>
      <c r="M63" s="6" t="s">
        <v>223</v>
      </c>
      <c r="N63" s="7">
        <v>44273</v>
      </c>
      <c r="O63" s="7">
        <v>44256</v>
      </c>
      <c r="P63" s="7">
        <v>44620</v>
      </c>
      <c r="Q63" s="8">
        <v>55</v>
      </c>
      <c r="R63" s="8">
        <v>208</v>
      </c>
      <c r="S63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3" s="12" t="str">
        <f t="shared" si="1"/>
        <v>VALUES('08801287','EZY TECHNOLOGIES (PVT.) LIMITED','Salaam@123','Y','N',sysdate,'016', 'C', 'Client', 'nadia@ezy-corp.com ','01','B', '08', 'ABDUL', sysdate, '10.6.100.63', '08801287');</v>
      </c>
      <c r="U63" s="12" t="str">
        <f t="shared" si="2"/>
        <v>INSERT INTO sy_user_branches (USER_CD, BRANCH_CODE, CLASS_CODE, ENT_BY, ENT_DATE, ENT_BY_IP)</v>
      </c>
      <c r="V63" s="12" t="str">
        <f t="shared" si="3"/>
        <v>values('08801287','01', '08', 'ABDUL', sysdate, '10.6.100.63');</v>
      </c>
      <c r="W63" s="12" t="str">
        <f t="shared" si="4"/>
        <v>INSERT INTO sy_perm_list (USER_CD, OPT_CD, ACCESS_TYPE, BRANCH_CODE, CLASS_CODE, ENT_BY, ENT_DATE, ENT_BY_IP)</v>
      </c>
      <c r="X63" s="12" t="str">
        <f t="shared" si="5"/>
        <v>VALUES('08801287','ClaimComments.aspx', 'USER', '01', '08', 'ABDUL', SYSDATE, '10.6.100.63');</v>
      </c>
      <c r="Y63" s="12" t="str">
        <f t="shared" si="6"/>
        <v>INSERT INTO sy_perm_list (USER_CD, OPT_CD, ACCESS_TYPE, BRANCH_CODE, CLASS_CODE, ENT_BY, ENT_DATE, ENT_BY_IP)</v>
      </c>
      <c r="Z63" s="12" t="str">
        <f t="shared" si="7"/>
        <v>VALUES('08801287','ClaimDocs.aspx', 'USER', '01', '08', 'ABDUL', SYSDATE, '10.6.100.63');</v>
      </c>
      <c r="AA63" s="12" t="str">
        <f t="shared" si="8"/>
        <v>INSERT INTO sy_perm_list (USER_CD, OPT_CD, ACCESS_TYPE, BRANCH_CODE, CLASS_CODE, ENT_BY, ENT_DATE, ENT_BY_IP)</v>
      </c>
      <c r="AB63" s="12" t="str">
        <f t="shared" si="9"/>
        <v>VALUES('08801287','Client.aspx', 'USER', '01', '08', 'ABDUL', SYSDATE, '10.6.100.63');</v>
      </c>
      <c r="AC63" s="12" t="str">
        <f t="shared" si="10"/>
        <v>INSERT INTO sy_perm_list (USER_CD, OPT_CD, ACCESS_TYPE, BRANCH_CODE, CLASS_CODE, ENT_BY, ENT_DATE, ENT_BY_IP)</v>
      </c>
      <c r="AD63" s="12" t="str">
        <f t="shared" si="11"/>
        <v>VALUES('08801287','ClientReports.aspx', 'USER', '01', '08', 'ABDUL', SYSDATE, '10.6.100.63');</v>
      </c>
      <c r="AE63" s="12" t="str">
        <f t="shared" si="12"/>
        <v>INSERT INTO sy_perm_list (USER_CD, OPT_CD, ACCESS_TYPE, BRANCH_CODE, CLASS_CODE, ENT_BY, ENT_DATE, ENT_BY_IP)</v>
      </c>
      <c r="AF63" s="12" t="str">
        <f t="shared" si="13"/>
        <v>VALUES('08801287','ClientRequests.aspx', 'USER', '01', '08', 'ABDUL', SYSDATE, '10.6.100.63');</v>
      </c>
      <c r="AG63" s="12" t="str">
        <f t="shared" si="14"/>
        <v>INSERT INTO sy_perm_list (USER_CD, OPT_CD, ACCESS_TYPE, BRANCH_CODE, CLASS_CODE, ENT_BY, ENT_DATE, ENT_BY_IP)</v>
      </c>
      <c r="AH63" s="12" t="str">
        <f t="shared" si="15"/>
        <v>VALUES('08801287','HealthLife.aspx', 'USER', '01', '08', 'ABDUL', SYSDATE, '10.6.100.63');</v>
      </c>
      <c r="AI63" s="12" t="str">
        <f t="shared" si="16"/>
        <v>INSERT INTO sy_perm_list (USER_CD, OPT_CD, ACCESS_TYPE, BRANCH_CODE, CLASS_CODE, ENT_BY, ENT_DATE, ENT_BY_IP)</v>
      </c>
      <c r="AJ63" s="12" t="str">
        <f t="shared" si="17"/>
        <v>VALUES('08801287','IpdClaim.aspx', 'USER', '01', '08', 'ABDUL', SYSDATE, '10.6.100.63');</v>
      </c>
      <c r="AK63" s="12" t="str">
        <f t="shared" si="18"/>
        <v>INSERT INTO sy_perm_list (USER_CD, OPT_CD, ACCESS_TYPE, BRANCH_CODE, CLASS_CODE, ENT_BY, ENT_DATE, ENT_BY_IP)</v>
      </c>
      <c r="AL63" s="12" t="str">
        <f t="shared" si="19"/>
        <v>VALUES('08801287','OpdClaim.aspx', 'USER', '01', '08', 'ABDUL', SYSDATE, '10.6.100.63');</v>
      </c>
      <c r="AM63" s="12" t="str">
        <f t="shared" si="20"/>
        <v>INSERT INTO sy_perm_list (USER_CD, OPT_CD, ACCESS_TYPE, BRANCH_CODE, CLASS_CODE, ENT_BY, ENT_DATE, ENT_BY_IP)</v>
      </c>
      <c r="AN63" s="12" t="str">
        <f t="shared" si="21"/>
        <v>VALUES('08801287','RequestDetails.aspx', 'USER', '01', '08', 'ABDUL', SYSDATE, '10.6.100.63');</v>
      </c>
      <c r="AO63" s="12" t="str">
        <f t="shared" si="22"/>
        <v>INSERT INTO sy_perm_list (USER_CD, OPT_CD, ACCESS_TYPE, BRANCH_CODE, CLASS_CODE, ENT_BY, ENT_DATE, ENT_BY_IP)</v>
      </c>
      <c r="AP63" s="12" t="str">
        <f t="shared" si="23"/>
        <v>VALUES('08801287','TodaysRequest.aspx', 'USER', '01', '08', 'ABDUL', SYSDATE, '10.6.100.63');</v>
      </c>
    </row>
    <row r="64" spans="1:42" s="6" customFormat="1" ht="76.5" x14ac:dyDescent="0.2">
      <c r="A64" s="4">
        <v>52</v>
      </c>
      <c r="B64" s="5" t="s">
        <v>703</v>
      </c>
      <c r="C64" s="5">
        <v>9000221</v>
      </c>
      <c r="D64" s="6" t="s">
        <v>285</v>
      </c>
      <c r="E64" s="6" t="s">
        <v>286</v>
      </c>
      <c r="F64" s="5" t="s">
        <v>287</v>
      </c>
      <c r="G64" s="6" t="s">
        <v>288</v>
      </c>
      <c r="H64" s="5" t="s">
        <v>649</v>
      </c>
      <c r="I64" s="5">
        <v>766</v>
      </c>
      <c r="J64" s="5" t="s">
        <v>486</v>
      </c>
      <c r="K64" s="6" t="s">
        <v>487</v>
      </c>
      <c r="L64" s="6" t="s">
        <v>581</v>
      </c>
      <c r="M64" s="6" t="s">
        <v>582</v>
      </c>
      <c r="N64" s="7">
        <v>44243</v>
      </c>
      <c r="O64" s="7">
        <v>44242</v>
      </c>
      <c r="P64" s="7">
        <v>44606</v>
      </c>
      <c r="Q64" s="8">
        <v>37</v>
      </c>
      <c r="R64" s="8">
        <v>153</v>
      </c>
      <c r="S6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4" s="12" t="str">
        <f t="shared" si="1"/>
        <v>VALUES('08801768','FEDERAL INSURANCE OMBUDSMANS SECRETARIAT','Salaam@123','Y','N',sysdate,'016', 'C', 'Client', 'sarosh@takaful.com.pk','01','B', '08', 'ABDUL', sysdate, '10.6.100.63', '08801768');</v>
      </c>
      <c r="U64" s="12" t="str">
        <f t="shared" si="2"/>
        <v>INSERT INTO sy_user_branches (USER_CD, BRANCH_CODE, CLASS_CODE, ENT_BY, ENT_DATE, ENT_BY_IP)</v>
      </c>
      <c r="V64" s="12" t="str">
        <f t="shared" si="3"/>
        <v>values('08801768','01', '08', 'ABDUL', sysdate, '10.6.100.63');</v>
      </c>
      <c r="W64" s="12" t="str">
        <f t="shared" si="4"/>
        <v>INSERT INTO sy_perm_list (USER_CD, OPT_CD, ACCESS_TYPE, BRANCH_CODE, CLASS_CODE, ENT_BY, ENT_DATE, ENT_BY_IP)</v>
      </c>
      <c r="X64" s="12" t="str">
        <f t="shared" si="5"/>
        <v>VALUES('08801768','ClaimComments.aspx', 'USER', '01', '08', 'ABDUL', SYSDATE, '10.6.100.63');</v>
      </c>
      <c r="Y64" s="12" t="str">
        <f t="shared" si="6"/>
        <v>INSERT INTO sy_perm_list (USER_CD, OPT_CD, ACCESS_TYPE, BRANCH_CODE, CLASS_CODE, ENT_BY, ENT_DATE, ENT_BY_IP)</v>
      </c>
      <c r="Z64" s="12" t="str">
        <f t="shared" si="7"/>
        <v>VALUES('08801768','ClaimDocs.aspx', 'USER', '01', '08', 'ABDUL', SYSDATE, '10.6.100.63');</v>
      </c>
      <c r="AA64" s="12" t="str">
        <f t="shared" si="8"/>
        <v>INSERT INTO sy_perm_list (USER_CD, OPT_CD, ACCESS_TYPE, BRANCH_CODE, CLASS_CODE, ENT_BY, ENT_DATE, ENT_BY_IP)</v>
      </c>
      <c r="AB64" s="12" t="str">
        <f t="shared" si="9"/>
        <v>VALUES('08801768','Client.aspx', 'USER', '01', '08', 'ABDUL', SYSDATE, '10.6.100.63');</v>
      </c>
      <c r="AC64" s="12" t="str">
        <f t="shared" si="10"/>
        <v>INSERT INTO sy_perm_list (USER_CD, OPT_CD, ACCESS_TYPE, BRANCH_CODE, CLASS_CODE, ENT_BY, ENT_DATE, ENT_BY_IP)</v>
      </c>
      <c r="AD64" s="12" t="str">
        <f t="shared" si="11"/>
        <v>VALUES('08801768','ClientReports.aspx', 'USER', '01', '08', 'ABDUL', SYSDATE, '10.6.100.63');</v>
      </c>
      <c r="AE64" s="12" t="str">
        <f t="shared" si="12"/>
        <v>INSERT INTO sy_perm_list (USER_CD, OPT_CD, ACCESS_TYPE, BRANCH_CODE, CLASS_CODE, ENT_BY, ENT_DATE, ENT_BY_IP)</v>
      </c>
      <c r="AF64" s="12" t="str">
        <f t="shared" si="13"/>
        <v>VALUES('08801768','ClientRequests.aspx', 'USER', '01', '08', 'ABDUL', SYSDATE, '10.6.100.63');</v>
      </c>
      <c r="AG64" s="12" t="str">
        <f t="shared" si="14"/>
        <v>INSERT INTO sy_perm_list (USER_CD, OPT_CD, ACCESS_TYPE, BRANCH_CODE, CLASS_CODE, ENT_BY, ENT_DATE, ENT_BY_IP)</v>
      </c>
      <c r="AH64" s="12" t="str">
        <f t="shared" si="15"/>
        <v>VALUES('08801768','HealthLife.aspx', 'USER', '01', '08', 'ABDUL', SYSDATE, '10.6.100.63');</v>
      </c>
      <c r="AI64" s="12" t="str">
        <f t="shared" si="16"/>
        <v>INSERT INTO sy_perm_list (USER_CD, OPT_CD, ACCESS_TYPE, BRANCH_CODE, CLASS_CODE, ENT_BY, ENT_DATE, ENT_BY_IP)</v>
      </c>
      <c r="AJ64" s="12" t="str">
        <f t="shared" si="17"/>
        <v>VALUES('08801768','IpdClaim.aspx', 'USER', '01', '08', 'ABDUL', SYSDATE, '10.6.100.63');</v>
      </c>
      <c r="AK64" s="12" t="str">
        <f t="shared" si="18"/>
        <v>INSERT INTO sy_perm_list (USER_CD, OPT_CD, ACCESS_TYPE, BRANCH_CODE, CLASS_CODE, ENT_BY, ENT_DATE, ENT_BY_IP)</v>
      </c>
      <c r="AL64" s="12" t="str">
        <f t="shared" si="19"/>
        <v>VALUES('08801768','OpdClaim.aspx', 'USER', '01', '08', 'ABDUL', SYSDATE, '10.6.100.63');</v>
      </c>
      <c r="AM64" s="12" t="str">
        <f t="shared" si="20"/>
        <v>INSERT INTO sy_perm_list (USER_CD, OPT_CD, ACCESS_TYPE, BRANCH_CODE, CLASS_CODE, ENT_BY, ENT_DATE, ENT_BY_IP)</v>
      </c>
      <c r="AN64" s="12" t="str">
        <f t="shared" si="21"/>
        <v>VALUES('08801768','RequestDetails.aspx', 'USER', '01', '08', 'ABDUL', SYSDATE, '10.6.100.63');</v>
      </c>
      <c r="AO64" s="12" t="str">
        <f t="shared" si="22"/>
        <v>INSERT INTO sy_perm_list (USER_CD, OPT_CD, ACCESS_TYPE, BRANCH_CODE, CLASS_CODE, ENT_BY, ENT_DATE, ENT_BY_IP)</v>
      </c>
      <c r="AP64" s="12" t="str">
        <f t="shared" si="23"/>
        <v>VALUES('08801768','TodaysRequest.aspx', 'USER', '01', '08', 'ABDUL', SYSDATE, '10.6.100.63');</v>
      </c>
    </row>
    <row r="65" spans="1:42" s="6" customFormat="1" ht="76.5" x14ac:dyDescent="0.2">
      <c r="A65" s="4">
        <v>53</v>
      </c>
      <c r="B65" s="5" t="s">
        <v>704</v>
      </c>
      <c r="C65" s="5">
        <v>9000248</v>
      </c>
      <c r="D65" s="6" t="s">
        <v>293</v>
      </c>
      <c r="E65" s="6" t="s">
        <v>290</v>
      </c>
      <c r="F65" s="5" t="s">
        <v>287</v>
      </c>
      <c r="G65" s="6" t="s">
        <v>288</v>
      </c>
      <c r="H65" s="5" t="s">
        <v>652</v>
      </c>
      <c r="I65" s="5">
        <v>798</v>
      </c>
      <c r="J65" s="5" t="s">
        <v>509</v>
      </c>
      <c r="K65" s="6" t="s">
        <v>510</v>
      </c>
      <c r="L65" s="6" t="s">
        <v>583</v>
      </c>
      <c r="M65" s="6" t="s">
        <v>584</v>
      </c>
      <c r="N65" s="7">
        <v>44256</v>
      </c>
      <c r="O65" s="7">
        <v>44256</v>
      </c>
      <c r="P65" s="7">
        <v>44620</v>
      </c>
      <c r="Q65" s="8">
        <v>25</v>
      </c>
      <c r="R65" s="8">
        <v>86</v>
      </c>
      <c r="S65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5" s="12" t="str">
        <f t="shared" si="1"/>
        <v>VALUES('08801803','FIBER MOUNTAIN TECHNOLOGIES (PRIVATE) LIMITED','Salaam@123','Y','N',sysdate,'016', 'C', 'Client', 'waqaskhalil@fibermountain.com','01','B', '08', 'ABDUL', sysdate, '10.6.100.63', '08801803');</v>
      </c>
      <c r="U65" s="12" t="str">
        <f t="shared" si="2"/>
        <v>INSERT INTO sy_user_branches (USER_CD, BRANCH_CODE, CLASS_CODE, ENT_BY, ENT_DATE, ENT_BY_IP)</v>
      </c>
      <c r="V65" s="12" t="str">
        <f t="shared" si="3"/>
        <v>values('08801803','01', '08', 'ABDUL', sysdate, '10.6.100.63');</v>
      </c>
      <c r="W65" s="12" t="str">
        <f t="shared" si="4"/>
        <v>INSERT INTO sy_perm_list (USER_CD, OPT_CD, ACCESS_TYPE, BRANCH_CODE, CLASS_CODE, ENT_BY, ENT_DATE, ENT_BY_IP)</v>
      </c>
      <c r="X65" s="12" t="str">
        <f t="shared" si="5"/>
        <v>VALUES('08801803','ClaimComments.aspx', 'USER', '01', '08', 'ABDUL', SYSDATE, '10.6.100.63');</v>
      </c>
      <c r="Y65" s="12" t="str">
        <f t="shared" si="6"/>
        <v>INSERT INTO sy_perm_list (USER_CD, OPT_CD, ACCESS_TYPE, BRANCH_CODE, CLASS_CODE, ENT_BY, ENT_DATE, ENT_BY_IP)</v>
      </c>
      <c r="Z65" s="12" t="str">
        <f t="shared" si="7"/>
        <v>VALUES('08801803','ClaimDocs.aspx', 'USER', '01', '08', 'ABDUL', SYSDATE, '10.6.100.63');</v>
      </c>
      <c r="AA65" s="12" t="str">
        <f t="shared" si="8"/>
        <v>INSERT INTO sy_perm_list (USER_CD, OPT_CD, ACCESS_TYPE, BRANCH_CODE, CLASS_CODE, ENT_BY, ENT_DATE, ENT_BY_IP)</v>
      </c>
      <c r="AB65" s="12" t="str">
        <f t="shared" si="9"/>
        <v>VALUES('08801803','Client.aspx', 'USER', '01', '08', 'ABDUL', SYSDATE, '10.6.100.63');</v>
      </c>
      <c r="AC65" s="12" t="str">
        <f t="shared" si="10"/>
        <v>INSERT INTO sy_perm_list (USER_CD, OPT_CD, ACCESS_TYPE, BRANCH_CODE, CLASS_CODE, ENT_BY, ENT_DATE, ENT_BY_IP)</v>
      </c>
      <c r="AD65" s="12" t="str">
        <f t="shared" si="11"/>
        <v>VALUES('08801803','ClientReports.aspx', 'USER', '01', '08', 'ABDUL', SYSDATE, '10.6.100.63');</v>
      </c>
      <c r="AE65" s="12" t="str">
        <f t="shared" si="12"/>
        <v>INSERT INTO sy_perm_list (USER_CD, OPT_CD, ACCESS_TYPE, BRANCH_CODE, CLASS_CODE, ENT_BY, ENT_DATE, ENT_BY_IP)</v>
      </c>
      <c r="AF65" s="12" t="str">
        <f t="shared" si="13"/>
        <v>VALUES('08801803','ClientRequests.aspx', 'USER', '01', '08', 'ABDUL', SYSDATE, '10.6.100.63');</v>
      </c>
      <c r="AG65" s="12" t="str">
        <f t="shared" si="14"/>
        <v>INSERT INTO sy_perm_list (USER_CD, OPT_CD, ACCESS_TYPE, BRANCH_CODE, CLASS_CODE, ENT_BY, ENT_DATE, ENT_BY_IP)</v>
      </c>
      <c r="AH65" s="12" t="str">
        <f t="shared" si="15"/>
        <v>VALUES('08801803','HealthLife.aspx', 'USER', '01', '08', 'ABDUL', SYSDATE, '10.6.100.63');</v>
      </c>
      <c r="AI65" s="12" t="str">
        <f t="shared" si="16"/>
        <v>INSERT INTO sy_perm_list (USER_CD, OPT_CD, ACCESS_TYPE, BRANCH_CODE, CLASS_CODE, ENT_BY, ENT_DATE, ENT_BY_IP)</v>
      </c>
      <c r="AJ65" s="12" t="str">
        <f t="shared" si="17"/>
        <v>VALUES('08801803','IpdClaim.aspx', 'USER', '01', '08', 'ABDUL', SYSDATE, '10.6.100.63');</v>
      </c>
      <c r="AK65" s="12" t="str">
        <f t="shared" si="18"/>
        <v>INSERT INTO sy_perm_list (USER_CD, OPT_CD, ACCESS_TYPE, BRANCH_CODE, CLASS_CODE, ENT_BY, ENT_DATE, ENT_BY_IP)</v>
      </c>
      <c r="AL65" s="12" t="str">
        <f t="shared" si="19"/>
        <v>VALUES('08801803','OpdClaim.aspx', 'USER', '01', '08', 'ABDUL', SYSDATE, '10.6.100.63');</v>
      </c>
      <c r="AM65" s="12" t="str">
        <f t="shared" si="20"/>
        <v>INSERT INTO sy_perm_list (USER_CD, OPT_CD, ACCESS_TYPE, BRANCH_CODE, CLASS_CODE, ENT_BY, ENT_DATE, ENT_BY_IP)</v>
      </c>
      <c r="AN65" s="12" t="str">
        <f t="shared" si="21"/>
        <v>VALUES('08801803','RequestDetails.aspx', 'USER', '01', '08', 'ABDUL', SYSDATE, '10.6.100.63');</v>
      </c>
      <c r="AO65" s="12" t="str">
        <f t="shared" si="22"/>
        <v>INSERT INTO sy_perm_list (USER_CD, OPT_CD, ACCESS_TYPE, BRANCH_CODE, CLASS_CODE, ENT_BY, ENT_DATE, ENT_BY_IP)</v>
      </c>
      <c r="AP65" s="12" t="str">
        <f t="shared" si="23"/>
        <v>VALUES('08801803','TodaysRequest.aspx', 'USER', '01', '08', 'ABDUL', SYSDATE, '10.6.100.63');</v>
      </c>
    </row>
    <row r="66" spans="1:42" s="6" customFormat="1" ht="76.5" x14ac:dyDescent="0.2">
      <c r="A66" s="4">
        <v>54</v>
      </c>
      <c r="B66" s="5" t="s">
        <v>705</v>
      </c>
      <c r="C66" s="5">
        <v>9000244</v>
      </c>
      <c r="D66" s="6" t="s">
        <v>337</v>
      </c>
      <c r="E66" s="6" t="s">
        <v>290</v>
      </c>
      <c r="F66" s="5" t="s">
        <v>287</v>
      </c>
      <c r="G66" s="6" t="s">
        <v>288</v>
      </c>
      <c r="H66" s="5" t="s">
        <v>649</v>
      </c>
      <c r="I66" s="5">
        <v>710</v>
      </c>
      <c r="J66" s="5" t="s">
        <v>426</v>
      </c>
      <c r="K66" s="6" t="s">
        <v>0</v>
      </c>
      <c r="L66" s="6" t="s">
        <v>134</v>
      </c>
      <c r="M66" s="6" t="s">
        <v>136</v>
      </c>
      <c r="N66" s="7">
        <v>44195</v>
      </c>
      <c r="O66" s="7">
        <v>44196</v>
      </c>
      <c r="P66" s="7">
        <v>44561</v>
      </c>
      <c r="Q66" s="8">
        <v>450</v>
      </c>
      <c r="R66" s="8">
        <v>1124</v>
      </c>
      <c r="S6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6" s="12" t="str">
        <f t="shared" si="1"/>
        <v>VALUES('08000725','FOLIO3 (PVT) LTD.','Salaam@123','Y','N',sysdate,'016', 'C', 'Client', 'jlucas@folio3.com','01','B', '08', 'ABDUL', sysdate, '10.6.100.63', '08000725');</v>
      </c>
      <c r="U66" s="12" t="str">
        <f t="shared" si="2"/>
        <v>INSERT INTO sy_user_branches (USER_CD, BRANCH_CODE, CLASS_CODE, ENT_BY, ENT_DATE, ENT_BY_IP)</v>
      </c>
      <c r="V66" s="12" t="str">
        <f t="shared" si="3"/>
        <v>values('08000725','01', '08', 'ABDUL', sysdate, '10.6.100.63');</v>
      </c>
      <c r="W66" s="12" t="str">
        <f t="shared" si="4"/>
        <v>INSERT INTO sy_perm_list (USER_CD, OPT_CD, ACCESS_TYPE, BRANCH_CODE, CLASS_CODE, ENT_BY, ENT_DATE, ENT_BY_IP)</v>
      </c>
      <c r="X66" s="12" t="str">
        <f t="shared" si="5"/>
        <v>VALUES('08000725','ClaimComments.aspx', 'USER', '01', '08', 'ABDUL', SYSDATE, '10.6.100.63');</v>
      </c>
      <c r="Y66" s="12" t="str">
        <f t="shared" si="6"/>
        <v>INSERT INTO sy_perm_list (USER_CD, OPT_CD, ACCESS_TYPE, BRANCH_CODE, CLASS_CODE, ENT_BY, ENT_DATE, ENT_BY_IP)</v>
      </c>
      <c r="Z66" s="12" t="str">
        <f t="shared" si="7"/>
        <v>VALUES('08000725','ClaimDocs.aspx', 'USER', '01', '08', 'ABDUL', SYSDATE, '10.6.100.63');</v>
      </c>
      <c r="AA66" s="12" t="str">
        <f t="shared" si="8"/>
        <v>INSERT INTO sy_perm_list (USER_CD, OPT_CD, ACCESS_TYPE, BRANCH_CODE, CLASS_CODE, ENT_BY, ENT_DATE, ENT_BY_IP)</v>
      </c>
      <c r="AB66" s="12" t="str">
        <f t="shared" si="9"/>
        <v>VALUES('08000725','Client.aspx', 'USER', '01', '08', 'ABDUL', SYSDATE, '10.6.100.63');</v>
      </c>
      <c r="AC66" s="12" t="str">
        <f t="shared" si="10"/>
        <v>INSERT INTO sy_perm_list (USER_CD, OPT_CD, ACCESS_TYPE, BRANCH_CODE, CLASS_CODE, ENT_BY, ENT_DATE, ENT_BY_IP)</v>
      </c>
      <c r="AD66" s="12" t="str">
        <f t="shared" si="11"/>
        <v>VALUES('08000725','ClientReports.aspx', 'USER', '01', '08', 'ABDUL', SYSDATE, '10.6.100.63');</v>
      </c>
      <c r="AE66" s="12" t="str">
        <f t="shared" si="12"/>
        <v>INSERT INTO sy_perm_list (USER_CD, OPT_CD, ACCESS_TYPE, BRANCH_CODE, CLASS_CODE, ENT_BY, ENT_DATE, ENT_BY_IP)</v>
      </c>
      <c r="AF66" s="12" t="str">
        <f t="shared" si="13"/>
        <v>VALUES('08000725','ClientRequests.aspx', 'USER', '01', '08', 'ABDUL', SYSDATE, '10.6.100.63');</v>
      </c>
      <c r="AG66" s="12" t="str">
        <f t="shared" si="14"/>
        <v>INSERT INTO sy_perm_list (USER_CD, OPT_CD, ACCESS_TYPE, BRANCH_CODE, CLASS_CODE, ENT_BY, ENT_DATE, ENT_BY_IP)</v>
      </c>
      <c r="AH66" s="12" t="str">
        <f t="shared" si="15"/>
        <v>VALUES('08000725','HealthLife.aspx', 'USER', '01', '08', 'ABDUL', SYSDATE, '10.6.100.63');</v>
      </c>
      <c r="AI66" s="12" t="str">
        <f t="shared" si="16"/>
        <v>INSERT INTO sy_perm_list (USER_CD, OPT_CD, ACCESS_TYPE, BRANCH_CODE, CLASS_CODE, ENT_BY, ENT_DATE, ENT_BY_IP)</v>
      </c>
      <c r="AJ66" s="12" t="str">
        <f t="shared" si="17"/>
        <v>VALUES('08000725','IpdClaim.aspx', 'USER', '01', '08', 'ABDUL', SYSDATE, '10.6.100.63');</v>
      </c>
      <c r="AK66" s="12" t="str">
        <f t="shared" si="18"/>
        <v>INSERT INTO sy_perm_list (USER_CD, OPT_CD, ACCESS_TYPE, BRANCH_CODE, CLASS_CODE, ENT_BY, ENT_DATE, ENT_BY_IP)</v>
      </c>
      <c r="AL66" s="12" t="str">
        <f t="shared" si="19"/>
        <v>VALUES('08000725','OpdClaim.aspx', 'USER', '01', '08', 'ABDUL', SYSDATE, '10.6.100.63');</v>
      </c>
      <c r="AM66" s="12" t="str">
        <f t="shared" si="20"/>
        <v>INSERT INTO sy_perm_list (USER_CD, OPT_CD, ACCESS_TYPE, BRANCH_CODE, CLASS_CODE, ENT_BY, ENT_DATE, ENT_BY_IP)</v>
      </c>
      <c r="AN66" s="12" t="str">
        <f t="shared" si="21"/>
        <v>VALUES('08000725','RequestDetails.aspx', 'USER', '01', '08', 'ABDUL', SYSDATE, '10.6.100.63');</v>
      </c>
      <c r="AO66" s="12" t="str">
        <f t="shared" si="22"/>
        <v>INSERT INTO sy_perm_list (USER_CD, OPT_CD, ACCESS_TYPE, BRANCH_CODE, CLASS_CODE, ENT_BY, ENT_DATE, ENT_BY_IP)</v>
      </c>
      <c r="AP66" s="12" t="str">
        <f t="shared" si="23"/>
        <v>VALUES('08000725','TodaysRequest.aspx', 'USER', '01', '08', 'ABDUL', SYSDATE, '10.6.100.63');</v>
      </c>
    </row>
    <row r="67" spans="1:42" s="6" customFormat="1" ht="76.5" x14ac:dyDescent="0.2">
      <c r="A67" s="4">
        <v>55</v>
      </c>
      <c r="B67" s="5" t="s">
        <v>706</v>
      </c>
      <c r="C67" s="5">
        <v>9000248</v>
      </c>
      <c r="D67" s="6" t="s">
        <v>293</v>
      </c>
      <c r="E67" s="6" t="s">
        <v>290</v>
      </c>
      <c r="F67" s="5" t="s">
        <v>287</v>
      </c>
      <c r="G67" s="6" t="s">
        <v>288</v>
      </c>
      <c r="H67" s="5" t="s">
        <v>652</v>
      </c>
      <c r="I67" s="5">
        <v>759</v>
      </c>
      <c r="J67" s="5" t="s">
        <v>478</v>
      </c>
      <c r="K67" s="6" t="s">
        <v>479</v>
      </c>
      <c r="L67" s="6" t="s">
        <v>585</v>
      </c>
      <c r="M67" s="6" t="s">
        <v>648</v>
      </c>
      <c r="N67" s="7">
        <v>44233</v>
      </c>
      <c r="O67" s="7">
        <v>44227</v>
      </c>
      <c r="P67" s="7">
        <v>44592</v>
      </c>
      <c r="Q67" s="8">
        <v>517</v>
      </c>
      <c r="R67" s="8">
        <v>1930</v>
      </c>
      <c r="S6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7" s="12" t="str">
        <f t="shared" si="1"/>
        <v>VALUES('08801213','FROEBELS (PRIVATE) LIMITED','Salaam@123','Y','N',sysdate,'016', 'C', 'Client', 'hr.record@froebels.edu.pk','01','B', '08', 'ABDUL', sysdate, '10.6.100.63', '08801213');</v>
      </c>
      <c r="U67" s="12" t="str">
        <f t="shared" si="2"/>
        <v>INSERT INTO sy_user_branches (USER_CD, BRANCH_CODE, CLASS_CODE, ENT_BY, ENT_DATE, ENT_BY_IP)</v>
      </c>
      <c r="V67" s="12" t="str">
        <f t="shared" si="3"/>
        <v>values('08801213','01', '08', 'ABDUL', sysdate, '10.6.100.63');</v>
      </c>
      <c r="W67" s="12" t="str">
        <f t="shared" si="4"/>
        <v>INSERT INTO sy_perm_list (USER_CD, OPT_CD, ACCESS_TYPE, BRANCH_CODE, CLASS_CODE, ENT_BY, ENT_DATE, ENT_BY_IP)</v>
      </c>
      <c r="X67" s="12" t="str">
        <f t="shared" si="5"/>
        <v>VALUES('08801213','ClaimComments.aspx', 'USER', '01', '08', 'ABDUL', SYSDATE, '10.6.100.63');</v>
      </c>
      <c r="Y67" s="12" t="str">
        <f t="shared" si="6"/>
        <v>INSERT INTO sy_perm_list (USER_CD, OPT_CD, ACCESS_TYPE, BRANCH_CODE, CLASS_CODE, ENT_BY, ENT_DATE, ENT_BY_IP)</v>
      </c>
      <c r="Z67" s="12" t="str">
        <f t="shared" si="7"/>
        <v>VALUES('08801213','ClaimDocs.aspx', 'USER', '01', '08', 'ABDUL', SYSDATE, '10.6.100.63');</v>
      </c>
      <c r="AA67" s="12" t="str">
        <f t="shared" si="8"/>
        <v>INSERT INTO sy_perm_list (USER_CD, OPT_CD, ACCESS_TYPE, BRANCH_CODE, CLASS_CODE, ENT_BY, ENT_DATE, ENT_BY_IP)</v>
      </c>
      <c r="AB67" s="12" t="str">
        <f t="shared" si="9"/>
        <v>VALUES('08801213','Client.aspx', 'USER', '01', '08', 'ABDUL', SYSDATE, '10.6.100.63');</v>
      </c>
      <c r="AC67" s="12" t="str">
        <f t="shared" si="10"/>
        <v>INSERT INTO sy_perm_list (USER_CD, OPT_CD, ACCESS_TYPE, BRANCH_CODE, CLASS_CODE, ENT_BY, ENT_DATE, ENT_BY_IP)</v>
      </c>
      <c r="AD67" s="12" t="str">
        <f t="shared" si="11"/>
        <v>VALUES('08801213','ClientReports.aspx', 'USER', '01', '08', 'ABDUL', SYSDATE, '10.6.100.63');</v>
      </c>
      <c r="AE67" s="12" t="str">
        <f t="shared" si="12"/>
        <v>INSERT INTO sy_perm_list (USER_CD, OPT_CD, ACCESS_TYPE, BRANCH_CODE, CLASS_CODE, ENT_BY, ENT_DATE, ENT_BY_IP)</v>
      </c>
      <c r="AF67" s="12" t="str">
        <f t="shared" si="13"/>
        <v>VALUES('08801213','ClientRequests.aspx', 'USER', '01', '08', 'ABDUL', SYSDATE, '10.6.100.63');</v>
      </c>
      <c r="AG67" s="12" t="str">
        <f t="shared" si="14"/>
        <v>INSERT INTO sy_perm_list (USER_CD, OPT_CD, ACCESS_TYPE, BRANCH_CODE, CLASS_CODE, ENT_BY, ENT_DATE, ENT_BY_IP)</v>
      </c>
      <c r="AH67" s="12" t="str">
        <f t="shared" si="15"/>
        <v>VALUES('08801213','HealthLife.aspx', 'USER', '01', '08', 'ABDUL', SYSDATE, '10.6.100.63');</v>
      </c>
      <c r="AI67" s="12" t="str">
        <f t="shared" si="16"/>
        <v>INSERT INTO sy_perm_list (USER_CD, OPT_CD, ACCESS_TYPE, BRANCH_CODE, CLASS_CODE, ENT_BY, ENT_DATE, ENT_BY_IP)</v>
      </c>
      <c r="AJ67" s="12" t="str">
        <f t="shared" si="17"/>
        <v>VALUES('08801213','IpdClaim.aspx', 'USER', '01', '08', 'ABDUL', SYSDATE, '10.6.100.63');</v>
      </c>
      <c r="AK67" s="12" t="str">
        <f t="shared" si="18"/>
        <v>INSERT INTO sy_perm_list (USER_CD, OPT_CD, ACCESS_TYPE, BRANCH_CODE, CLASS_CODE, ENT_BY, ENT_DATE, ENT_BY_IP)</v>
      </c>
      <c r="AL67" s="12" t="str">
        <f t="shared" si="19"/>
        <v>VALUES('08801213','OpdClaim.aspx', 'USER', '01', '08', 'ABDUL', SYSDATE, '10.6.100.63');</v>
      </c>
      <c r="AM67" s="12" t="str">
        <f t="shared" si="20"/>
        <v>INSERT INTO sy_perm_list (USER_CD, OPT_CD, ACCESS_TYPE, BRANCH_CODE, CLASS_CODE, ENT_BY, ENT_DATE, ENT_BY_IP)</v>
      </c>
      <c r="AN67" s="12" t="str">
        <f t="shared" si="21"/>
        <v>VALUES('08801213','RequestDetails.aspx', 'USER', '01', '08', 'ABDUL', SYSDATE, '10.6.100.63');</v>
      </c>
      <c r="AO67" s="12" t="str">
        <f t="shared" si="22"/>
        <v>INSERT INTO sy_perm_list (USER_CD, OPT_CD, ACCESS_TYPE, BRANCH_CODE, CLASS_CODE, ENT_BY, ENT_DATE, ENT_BY_IP)</v>
      </c>
      <c r="AP67" s="12" t="str">
        <f t="shared" si="23"/>
        <v>VALUES('08801213','TodaysRequest.aspx', 'USER', '01', '08', 'ABDUL', SYSDATE, '10.6.100.63');</v>
      </c>
    </row>
    <row r="68" spans="1:42" s="6" customFormat="1" ht="76.5" x14ac:dyDescent="0.2">
      <c r="A68" s="4">
        <v>56</v>
      </c>
      <c r="B68" s="5" t="s">
        <v>707</v>
      </c>
      <c r="C68" s="5">
        <v>9000266</v>
      </c>
      <c r="D68" s="6" t="s">
        <v>340</v>
      </c>
      <c r="E68" s="6" t="s">
        <v>314</v>
      </c>
      <c r="F68" s="5" t="s">
        <v>287</v>
      </c>
      <c r="G68" s="6" t="s">
        <v>288</v>
      </c>
      <c r="H68" s="5" t="s">
        <v>652</v>
      </c>
      <c r="I68" s="5">
        <v>757</v>
      </c>
      <c r="J68" s="5" t="s">
        <v>476</v>
      </c>
      <c r="K68" s="6" t="s">
        <v>477</v>
      </c>
      <c r="L68" s="6" t="s">
        <v>193</v>
      </c>
      <c r="M68" s="6" t="s">
        <v>194</v>
      </c>
      <c r="N68" s="7">
        <v>44231</v>
      </c>
      <c r="O68" s="7">
        <v>44197</v>
      </c>
      <c r="P68" s="7">
        <v>44561</v>
      </c>
      <c r="Q68" s="8">
        <v>6</v>
      </c>
      <c r="R68" s="8">
        <v>19</v>
      </c>
      <c r="S68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8" s="12" t="str">
        <f t="shared" si="1"/>
        <v>VALUES('08801098','GEMALTO PAKISTAN (PVT) LTD','Salaam@123','Y','N',sysdate,'016', 'C', 'Client', 'muhammad.farhan@uniqueinsurancebrokers.com','01','B', '08', 'ABDUL', sysdate, '10.6.100.63', '08801098');</v>
      </c>
      <c r="U68" s="12" t="str">
        <f t="shared" si="2"/>
        <v>INSERT INTO sy_user_branches (USER_CD, BRANCH_CODE, CLASS_CODE, ENT_BY, ENT_DATE, ENT_BY_IP)</v>
      </c>
      <c r="V68" s="12" t="str">
        <f t="shared" si="3"/>
        <v>values('08801098','01', '08', 'ABDUL', sysdate, '10.6.100.63');</v>
      </c>
      <c r="W68" s="12" t="str">
        <f t="shared" si="4"/>
        <v>INSERT INTO sy_perm_list (USER_CD, OPT_CD, ACCESS_TYPE, BRANCH_CODE, CLASS_CODE, ENT_BY, ENT_DATE, ENT_BY_IP)</v>
      </c>
      <c r="X68" s="12" t="str">
        <f t="shared" si="5"/>
        <v>VALUES('08801098','ClaimComments.aspx', 'USER', '01', '08', 'ABDUL', SYSDATE, '10.6.100.63');</v>
      </c>
      <c r="Y68" s="12" t="str">
        <f t="shared" si="6"/>
        <v>INSERT INTO sy_perm_list (USER_CD, OPT_CD, ACCESS_TYPE, BRANCH_CODE, CLASS_CODE, ENT_BY, ENT_DATE, ENT_BY_IP)</v>
      </c>
      <c r="Z68" s="12" t="str">
        <f t="shared" si="7"/>
        <v>VALUES('08801098','ClaimDocs.aspx', 'USER', '01', '08', 'ABDUL', SYSDATE, '10.6.100.63');</v>
      </c>
      <c r="AA68" s="12" t="str">
        <f t="shared" si="8"/>
        <v>INSERT INTO sy_perm_list (USER_CD, OPT_CD, ACCESS_TYPE, BRANCH_CODE, CLASS_CODE, ENT_BY, ENT_DATE, ENT_BY_IP)</v>
      </c>
      <c r="AB68" s="12" t="str">
        <f t="shared" si="9"/>
        <v>VALUES('08801098','Client.aspx', 'USER', '01', '08', 'ABDUL', SYSDATE, '10.6.100.63');</v>
      </c>
      <c r="AC68" s="12" t="str">
        <f t="shared" si="10"/>
        <v>INSERT INTO sy_perm_list (USER_CD, OPT_CD, ACCESS_TYPE, BRANCH_CODE, CLASS_CODE, ENT_BY, ENT_DATE, ENT_BY_IP)</v>
      </c>
      <c r="AD68" s="12" t="str">
        <f t="shared" si="11"/>
        <v>VALUES('08801098','ClientReports.aspx', 'USER', '01', '08', 'ABDUL', SYSDATE, '10.6.100.63');</v>
      </c>
      <c r="AE68" s="12" t="str">
        <f t="shared" si="12"/>
        <v>INSERT INTO sy_perm_list (USER_CD, OPT_CD, ACCESS_TYPE, BRANCH_CODE, CLASS_CODE, ENT_BY, ENT_DATE, ENT_BY_IP)</v>
      </c>
      <c r="AF68" s="12" t="str">
        <f t="shared" si="13"/>
        <v>VALUES('08801098','ClientRequests.aspx', 'USER', '01', '08', 'ABDUL', SYSDATE, '10.6.100.63');</v>
      </c>
      <c r="AG68" s="12" t="str">
        <f t="shared" si="14"/>
        <v>INSERT INTO sy_perm_list (USER_CD, OPT_CD, ACCESS_TYPE, BRANCH_CODE, CLASS_CODE, ENT_BY, ENT_DATE, ENT_BY_IP)</v>
      </c>
      <c r="AH68" s="12" t="str">
        <f t="shared" si="15"/>
        <v>VALUES('08801098','HealthLife.aspx', 'USER', '01', '08', 'ABDUL', SYSDATE, '10.6.100.63');</v>
      </c>
      <c r="AI68" s="12" t="str">
        <f t="shared" si="16"/>
        <v>INSERT INTO sy_perm_list (USER_CD, OPT_CD, ACCESS_TYPE, BRANCH_CODE, CLASS_CODE, ENT_BY, ENT_DATE, ENT_BY_IP)</v>
      </c>
      <c r="AJ68" s="12" t="str">
        <f t="shared" si="17"/>
        <v>VALUES('08801098','IpdClaim.aspx', 'USER', '01', '08', 'ABDUL', SYSDATE, '10.6.100.63');</v>
      </c>
      <c r="AK68" s="12" t="str">
        <f t="shared" si="18"/>
        <v>INSERT INTO sy_perm_list (USER_CD, OPT_CD, ACCESS_TYPE, BRANCH_CODE, CLASS_CODE, ENT_BY, ENT_DATE, ENT_BY_IP)</v>
      </c>
      <c r="AL68" s="12" t="str">
        <f t="shared" si="19"/>
        <v>VALUES('08801098','OpdClaim.aspx', 'USER', '01', '08', 'ABDUL', SYSDATE, '10.6.100.63');</v>
      </c>
      <c r="AM68" s="12" t="str">
        <f t="shared" si="20"/>
        <v>INSERT INTO sy_perm_list (USER_CD, OPT_CD, ACCESS_TYPE, BRANCH_CODE, CLASS_CODE, ENT_BY, ENT_DATE, ENT_BY_IP)</v>
      </c>
      <c r="AN68" s="12" t="str">
        <f t="shared" si="21"/>
        <v>VALUES('08801098','RequestDetails.aspx', 'USER', '01', '08', 'ABDUL', SYSDATE, '10.6.100.63');</v>
      </c>
      <c r="AO68" s="12" t="str">
        <f t="shared" si="22"/>
        <v>INSERT INTO sy_perm_list (USER_CD, OPT_CD, ACCESS_TYPE, BRANCH_CODE, CLASS_CODE, ENT_BY, ENT_DATE, ENT_BY_IP)</v>
      </c>
      <c r="AP68" s="12" t="str">
        <f t="shared" si="23"/>
        <v>VALUES('08801098','TodaysRequest.aspx', 'USER', '01', '08', 'ABDUL', SYSDATE, '10.6.100.63');</v>
      </c>
    </row>
    <row r="69" spans="1:42" s="6" customFormat="1" ht="76.5" x14ac:dyDescent="0.2">
      <c r="A69" s="4">
        <v>57</v>
      </c>
      <c r="B69" s="5" t="s">
        <v>708</v>
      </c>
      <c r="C69" s="5">
        <v>9000218</v>
      </c>
      <c r="D69" s="6" t="s">
        <v>310</v>
      </c>
      <c r="E69" s="6" t="s">
        <v>299</v>
      </c>
      <c r="F69" s="5" t="s">
        <v>287</v>
      </c>
      <c r="G69" s="6" t="s">
        <v>288</v>
      </c>
      <c r="H69" s="5" t="s">
        <v>649</v>
      </c>
      <c r="I69" s="5">
        <v>541</v>
      </c>
      <c r="J69" s="5" t="s">
        <v>311</v>
      </c>
      <c r="K69" s="6" t="s">
        <v>312</v>
      </c>
      <c r="L69" s="6" t="s">
        <v>160</v>
      </c>
      <c r="M69" s="6" t="s">
        <v>161</v>
      </c>
      <c r="N69" s="7">
        <v>43994</v>
      </c>
      <c r="O69" s="7">
        <v>43968</v>
      </c>
      <c r="P69" s="7">
        <v>44332</v>
      </c>
      <c r="Q69" s="8">
        <v>403</v>
      </c>
      <c r="R69" s="8">
        <v>1056</v>
      </c>
      <c r="S6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69" s="12" t="str">
        <f t="shared" si="1"/>
        <v>VALUES('08800665','GENERATIONS SCHOOL (PRIVATE) LTD','Salaam@123','Y','N',sysdate,'016', 'C', 'Client', 'a.basit@generations.edu.pk ','01','B', '08', 'ABDUL', sysdate, '10.6.100.63', '08800665');</v>
      </c>
      <c r="U69" s="12" t="str">
        <f t="shared" si="2"/>
        <v>INSERT INTO sy_user_branches (USER_CD, BRANCH_CODE, CLASS_CODE, ENT_BY, ENT_DATE, ENT_BY_IP)</v>
      </c>
      <c r="V69" s="12" t="str">
        <f t="shared" si="3"/>
        <v>values('08800665','01', '08', 'ABDUL', sysdate, '10.6.100.63');</v>
      </c>
      <c r="W69" s="12" t="str">
        <f t="shared" si="4"/>
        <v>INSERT INTO sy_perm_list (USER_CD, OPT_CD, ACCESS_TYPE, BRANCH_CODE, CLASS_CODE, ENT_BY, ENT_DATE, ENT_BY_IP)</v>
      </c>
      <c r="X69" s="12" t="str">
        <f t="shared" si="5"/>
        <v>VALUES('08800665','ClaimComments.aspx', 'USER', '01', '08', 'ABDUL', SYSDATE, '10.6.100.63');</v>
      </c>
      <c r="Y69" s="12" t="str">
        <f t="shared" si="6"/>
        <v>INSERT INTO sy_perm_list (USER_CD, OPT_CD, ACCESS_TYPE, BRANCH_CODE, CLASS_CODE, ENT_BY, ENT_DATE, ENT_BY_IP)</v>
      </c>
      <c r="Z69" s="12" t="str">
        <f t="shared" si="7"/>
        <v>VALUES('08800665','ClaimDocs.aspx', 'USER', '01', '08', 'ABDUL', SYSDATE, '10.6.100.63');</v>
      </c>
      <c r="AA69" s="12" t="str">
        <f t="shared" si="8"/>
        <v>INSERT INTO sy_perm_list (USER_CD, OPT_CD, ACCESS_TYPE, BRANCH_CODE, CLASS_CODE, ENT_BY, ENT_DATE, ENT_BY_IP)</v>
      </c>
      <c r="AB69" s="12" t="str">
        <f t="shared" si="9"/>
        <v>VALUES('08800665','Client.aspx', 'USER', '01', '08', 'ABDUL', SYSDATE, '10.6.100.63');</v>
      </c>
      <c r="AC69" s="12" t="str">
        <f t="shared" si="10"/>
        <v>INSERT INTO sy_perm_list (USER_CD, OPT_CD, ACCESS_TYPE, BRANCH_CODE, CLASS_CODE, ENT_BY, ENT_DATE, ENT_BY_IP)</v>
      </c>
      <c r="AD69" s="12" t="str">
        <f t="shared" si="11"/>
        <v>VALUES('08800665','ClientReports.aspx', 'USER', '01', '08', 'ABDUL', SYSDATE, '10.6.100.63');</v>
      </c>
      <c r="AE69" s="12" t="str">
        <f t="shared" si="12"/>
        <v>INSERT INTO sy_perm_list (USER_CD, OPT_CD, ACCESS_TYPE, BRANCH_CODE, CLASS_CODE, ENT_BY, ENT_DATE, ENT_BY_IP)</v>
      </c>
      <c r="AF69" s="12" t="str">
        <f t="shared" si="13"/>
        <v>VALUES('08800665','ClientRequests.aspx', 'USER', '01', '08', 'ABDUL', SYSDATE, '10.6.100.63');</v>
      </c>
      <c r="AG69" s="12" t="str">
        <f t="shared" si="14"/>
        <v>INSERT INTO sy_perm_list (USER_CD, OPT_CD, ACCESS_TYPE, BRANCH_CODE, CLASS_CODE, ENT_BY, ENT_DATE, ENT_BY_IP)</v>
      </c>
      <c r="AH69" s="12" t="str">
        <f t="shared" si="15"/>
        <v>VALUES('08800665','HealthLife.aspx', 'USER', '01', '08', 'ABDUL', SYSDATE, '10.6.100.63');</v>
      </c>
      <c r="AI69" s="12" t="str">
        <f t="shared" si="16"/>
        <v>INSERT INTO sy_perm_list (USER_CD, OPT_CD, ACCESS_TYPE, BRANCH_CODE, CLASS_CODE, ENT_BY, ENT_DATE, ENT_BY_IP)</v>
      </c>
      <c r="AJ69" s="12" t="str">
        <f t="shared" si="17"/>
        <v>VALUES('08800665','IpdClaim.aspx', 'USER', '01', '08', 'ABDUL', SYSDATE, '10.6.100.63');</v>
      </c>
      <c r="AK69" s="12" t="str">
        <f t="shared" si="18"/>
        <v>INSERT INTO sy_perm_list (USER_CD, OPT_CD, ACCESS_TYPE, BRANCH_CODE, CLASS_CODE, ENT_BY, ENT_DATE, ENT_BY_IP)</v>
      </c>
      <c r="AL69" s="12" t="str">
        <f t="shared" si="19"/>
        <v>VALUES('08800665','OpdClaim.aspx', 'USER', '01', '08', 'ABDUL', SYSDATE, '10.6.100.63');</v>
      </c>
      <c r="AM69" s="12" t="str">
        <f t="shared" si="20"/>
        <v>INSERT INTO sy_perm_list (USER_CD, OPT_CD, ACCESS_TYPE, BRANCH_CODE, CLASS_CODE, ENT_BY, ENT_DATE, ENT_BY_IP)</v>
      </c>
      <c r="AN69" s="12" t="str">
        <f t="shared" si="21"/>
        <v>VALUES('08800665','RequestDetails.aspx', 'USER', '01', '08', 'ABDUL', SYSDATE, '10.6.100.63');</v>
      </c>
      <c r="AO69" s="12" t="str">
        <f t="shared" si="22"/>
        <v>INSERT INTO sy_perm_list (USER_CD, OPT_CD, ACCESS_TYPE, BRANCH_CODE, CLASS_CODE, ENT_BY, ENT_DATE, ENT_BY_IP)</v>
      </c>
      <c r="AP69" s="12" t="str">
        <f t="shared" si="23"/>
        <v>VALUES('08800665','TodaysRequest.aspx', 'USER', '01', '08', 'ABDUL', SYSDATE, '10.6.100.63');</v>
      </c>
    </row>
    <row r="70" spans="1:42" s="6" customFormat="1" ht="76.5" x14ac:dyDescent="0.2">
      <c r="A70" s="4">
        <v>58</v>
      </c>
      <c r="B70" s="5" t="s">
        <v>709</v>
      </c>
      <c r="C70" s="5">
        <v>9000212</v>
      </c>
      <c r="D70" s="6" t="s">
        <v>523</v>
      </c>
      <c r="E70" s="6" t="s">
        <v>299</v>
      </c>
      <c r="F70" s="5" t="s">
        <v>287</v>
      </c>
      <c r="G70" s="6" t="s">
        <v>288</v>
      </c>
      <c r="H70" s="5" t="s">
        <v>649</v>
      </c>
      <c r="I70" s="5">
        <v>800</v>
      </c>
      <c r="J70" s="5" t="s">
        <v>524</v>
      </c>
      <c r="K70" s="6" t="s">
        <v>525</v>
      </c>
      <c r="L70" s="6" t="s">
        <v>144</v>
      </c>
      <c r="M70" s="6" t="s">
        <v>133</v>
      </c>
      <c r="N70" s="7">
        <v>44258</v>
      </c>
      <c r="O70" s="7">
        <v>44233</v>
      </c>
      <c r="P70" s="7">
        <v>44597</v>
      </c>
      <c r="Q70" s="8">
        <v>64</v>
      </c>
      <c r="R70" s="8">
        <v>121</v>
      </c>
      <c r="S7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0" s="12" t="str">
        <f t="shared" si="1"/>
        <v>VALUES('08801220','GOREY INTERNATIONAL','Salaam@123','Y','N',sysdate,'016', 'C', 'Client', 'haseeb.Ullah@goreyinternational.com','01','B', '08', 'ABDUL', sysdate, '10.6.100.63', '08801220');</v>
      </c>
      <c r="U70" s="12" t="str">
        <f t="shared" si="2"/>
        <v>INSERT INTO sy_user_branches (USER_CD, BRANCH_CODE, CLASS_CODE, ENT_BY, ENT_DATE, ENT_BY_IP)</v>
      </c>
      <c r="V70" s="12" t="str">
        <f t="shared" si="3"/>
        <v>values('08801220','01', '08', 'ABDUL', sysdate, '10.6.100.63');</v>
      </c>
      <c r="W70" s="12" t="str">
        <f t="shared" si="4"/>
        <v>INSERT INTO sy_perm_list (USER_CD, OPT_CD, ACCESS_TYPE, BRANCH_CODE, CLASS_CODE, ENT_BY, ENT_DATE, ENT_BY_IP)</v>
      </c>
      <c r="X70" s="12" t="str">
        <f t="shared" si="5"/>
        <v>VALUES('08801220','ClaimComments.aspx', 'USER', '01', '08', 'ABDUL', SYSDATE, '10.6.100.63');</v>
      </c>
      <c r="Y70" s="12" t="str">
        <f t="shared" si="6"/>
        <v>INSERT INTO sy_perm_list (USER_CD, OPT_CD, ACCESS_TYPE, BRANCH_CODE, CLASS_CODE, ENT_BY, ENT_DATE, ENT_BY_IP)</v>
      </c>
      <c r="Z70" s="12" t="str">
        <f t="shared" si="7"/>
        <v>VALUES('08801220','ClaimDocs.aspx', 'USER', '01', '08', 'ABDUL', SYSDATE, '10.6.100.63');</v>
      </c>
      <c r="AA70" s="12" t="str">
        <f t="shared" si="8"/>
        <v>INSERT INTO sy_perm_list (USER_CD, OPT_CD, ACCESS_TYPE, BRANCH_CODE, CLASS_CODE, ENT_BY, ENT_DATE, ENT_BY_IP)</v>
      </c>
      <c r="AB70" s="12" t="str">
        <f t="shared" si="9"/>
        <v>VALUES('08801220','Client.aspx', 'USER', '01', '08', 'ABDUL', SYSDATE, '10.6.100.63');</v>
      </c>
      <c r="AC70" s="12" t="str">
        <f t="shared" si="10"/>
        <v>INSERT INTO sy_perm_list (USER_CD, OPT_CD, ACCESS_TYPE, BRANCH_CODE, CLASS_CODE, ENT_BY, ENT_DATE, ENT_BY_IP)</v>
      </c>
      <c r="AD70" s="12" t="str">
        <f t="shared" si="11"/>
        <v>VALUES('08801220','ClientReports.aspx', 'USER', '01', '08', 'ABDUL', SYSDATE, '10.6.100.63');</v>
      </c>
      <c r="AE70" s="12" t="str">
        <f t="shared" si="12"/>
        <v>INSERT INTO sy_perm_list (USER_CD, OPT_CD, ACCESS_TYPE, BRANCH_CODE, CLASS_CODE, ENT_BY, ENT_DATE, ENT_BY_IP)</v>
      </c>
      <c r="AF70" s="12" t="str">
        <f t="shared" si="13"/>
        <v>VALUES('08801220','ClientRequests.aspx', 'USER', '01', '08', 'ABDUL', SYSDATE, '10.6.100.63');</v>
      </c>
      <c r="AG70" s="12" t="str">
        <f t="shared" si="14"/>
        <v>INSERT INTO sy_perm_list (USER_CD, OPT_CD, ACCESS_TYPE, BRANCH_CODE, CLASS_CODE, ENT_BY, ENT_DATE, ENT_BY_IP)</v>
      </c>
      <c r="AH70" s="12" t="str">
        <f t="shared" si="15"/>
        <v>VALUES('08801220','HealthLife.aspx', 'USER', '01', '08', 'ABDUL', SYSDATE, '10.6.100.63');</v>
      </c>
      <c r="AI70" s="12" t="str">
        <f t="shared" si="16"/>
        <v>INSERT INTO sy_perm_list (USER_CD, OPT_CD, ACCESS_TYPE, BRANCH_CODE, CLASS_CODE, ENT_BY, ENT_DATE, ENT_BY_IP)</v>
      </c>
      <c r="AJ70" s="12" t="str">
        <f t="shared" si="17"/>
        <v>VALUES('08801220','IpdClaim.aspx', 'USER', '01', '08', 'ABDUL', SYSDATE, '10.6.100.63');</v>
      </c>
      <c r="AK70" s="12" t="str">
        <f t="shared" si="18"/>
        <v>INSERT INTO sy_perm_list (USER_CD, OPT_CD, ACCESS_TYPE, BRANCH_CODE, CLASS_CODE, ENT_BY, ENT_DATE, ENT_BY_IP)</v>
      </c>
      <c r="AL70" s="12" t="str">
        <f t="shared" si="19"/>
        <v>VALUES('08801220','OpdClaim.aspx', 'USER', '01', '08', 'ABDUL', SYSDATE, '10.6.100.63');</v>
      </c>
      <c r="AM70" s="12" t="str">
        <f t="shared" si="20"/>
        <v>INSERT INTO sy_perm_list (USER_CD, OPT_CD, ACCESS_TYPE, BRANCH_CODE, CLASS_CODE, ENT_BY, ENT_DATE, ENT_BY_IP)</v>
      </c>
      <c r="AN70" s="12" t="str">
        <f t="shared" si="21"/>
        <v>VALUES('08801220','RequestDetails.aspx', 'USER', '01', '08', 'ABDUL', SYSDATE, '10.6.100.63');</v>
      </c>
      <c r="AO70" s="12" t="str">
        <f t="shared" si="22"/>
        <v>INSERT INTO sy_perm_list (USER_CD, OPT_CD, ACCESS_TYPE, BRANCH_CODE, CLASS_CODE, ENT_BY, ENT_DATE, ENT_BY_IP)</v>
      </c>
      <c r="AP70" s="12" t="str">
        <f t="shared" si="23"/>
        <v>VALUES('08801220','TodaysRequest.aspx', 'USER', '01', '08', 'ABDUL', SYSDATE, '10.6.100.63');</v>
      </c>
    </row>
    <row r="71" spans="1:42" s="6" customFormat="1" ht="76.5" x14ac:dyDescent="0.2">
      <c r="A71" s="4">
        <v>59</v>
      </c>
      <c r="B71" s="5" t="s">
        <v>710</v>
      </c>
      <c r="C71" s="5">
        <v>9000260</v>
      </c>
      <c r="D71" s="6" t="s">
        <v>289</v>
      </c>
      <c r="E71" s="6" t="s">
        <v>290</v>
      </c>
      <c r="F71" s="5" t="s">
        <v>287</v>
      </c>
      <c r="G71" s="6" t="s">
        <v>288</v>
      </c>
      <c r="H71" s="5" t="s">
        <v>650</v>
      </c>
      <c r="I71" s="5">
        <v>529</v>
      </c>
      <c r="J71" s="5" t="s">
        <v>291</v>
      </c>
      <c r="K71" s="6" t="s">
        <v>292</v>
      </c>
      <c r="L71" s="6" t="s">
        <v>586</v>
      </c>
      <c r="M71" s="6" t="s">
        <v>587</v>
      </c>
      <c r="N71" s="7">
        <v>43933</v>
      </c>
      <c r="O71" s="7">
        <v>43914</v>
      </c>
      <c r="P71" s="7">
        <v>44278</v>
      </c>
      <c r="Q71" s="8">
        <v>6</v>
      </c>
      <c r="R71" s="8">
        <v>14</v>
      </c>
      <c r="S71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1" s="12" t="str">
        <f t="shared" si="1"/>
        <v>VALUES('08801299','GRADE REFRIGERATION PAKISTAN (PVT.) LTD','Salaam@123','Y','N',sysdate,'016', 'C', 'Client', 'maslam@grasso-adearest.com','01','B', '08', 'ABDUL', sysdate, '10.6.100.63', '08801299');</v>
      </c>
      <c r="U71" s="12" t="str">
        <f t="shared" si="2"/>
        <v>INSERT INTO sy_user_branches (USER_CD, BRANCH_CODE, CLASS_CODE, ENT_BY, ENT_DATE, ENT_BY_IP)</v>
      </c>
      <c r="V71" s="12" t="str">
        <f t="shared" si="3"/>
        <v>values('08801299','01', '08', 'ABDUL', sysdate, '10.6.100.63');</v>
      </c>
      <c r="W71" s="12" t="str">
        <f t="shared" si="4"/>
        <v>INSERT INTO sy_perm_list (USER_CD, OPT_CD, ACCESS_TYPE, BRANCH_CODE, CLASS_CODE, ENT_BY, ENT_DATE, ENT_BY_IP)</v>
      </c>
      <c r="X71" s="12" t="str">
        <f t="shared" si="5"/>
        <v>VALUES('08801299','ClaimComments.aspx', 'USER', '01', '08', 'ABDUL', SYSDATE, '10.6.100.63');</v>
      </c>
      <c r="Y71" s="12" t="str">
        <f t="shared" si="6"/>
        <v>INSERT INTO sy_perm_list (USER_CD, OPT_CD, ACCESS_TYPE, BRANCH_CODE, CLASS_CODE, ENT_BY, ENT_DATE, ENT_BY_IP)</v>
      </c>
      <c r="Z71" s="12" t="str">
        <f t="shared" si="7"/>
        <v>VALUES('08801299','ClaimDocs.aspx', 'USER', '01', '08', 'ABDUL', SYSDATE, '10.6.100.63');</v>
      </c>
      <c r="AA71" s="12" t="str">
        <f t="shared" si="8"/>
        <v>INSERT INTO sy_perm_list (USER_CD, OPT_CD, ACCESS_TYPE, BRANCH_CODE, CLASS_CODE, ENT_BY, ENT_DATE, ENT_BY_IP)</v>
      </c>
      <c r="AB71" s="12" t="str">
        <f t="shared" si="9"/>
        <v>VALUES('08801299','Client.aspx', 'USER', '01', '08', 'ABDUL', SYSDATE, '10.6.100.63');</v>
      </c>
      <c r="AC71" s="12" t="str">
        <f t="shared" si="10"/>
        <v>INSERT INTO sy_perm_list (USER_CD, OPT_CD, ACCESS_TYPE, BRANCH_CODE, CLASS_CODE, ENT_BY, ENT_DATE, ENT_BY_IP)</v>
      </c>
      <c r="AD71" s="12" t="str">
        <f t="shared" si="11"/>
        <v>VALUES('08801299','ClientReports.aspx', 'USER', '01', '08', 'ABDUL', SYSDATE, '10.6.100.63');</v>
      </c>
      <c r="AE71" s="12" t="str">
        <f t="shared" si="12"/>
        <v>INSERT INTO sy_perm_list (USER_CD, OPT_CD, ACCESS_TYPE, BRANCH_CODE, CLASS_CODE, ENT_BY, ENT_DATE, ENT_BY_IP)</v>
      </c>
      <c r="AF71" s="12" t="str">
        <f t="shared" si="13"/>
        <v>VALUES('08801299','ClientRequests.aspx', 'USER', '01', '08', 'ABDUL', SYSDATE, '10.6.100.63');</v>
      </c>
      <c r="AG71" s="12" t="str">
        <f t="shared" si="14"/>
        <v>INSERT INTO sy_perm_list (USER_CD, OPT_CD, ACCESS_TYPE, BRANCH_CODE, CLASS_CODE, ENT_BY, ENT_DATE, ENT_BY_IP)</v>
      </c>
      <c r="AH71" s="12" t="str">
        <f t="shared" si="15"/>
        <v>VALUES('08801299','HealthLife.aspx', 'USER', '01', '08', 'ABDUL', SYSDATE, '10.6.100.63');</v>
      </c>
      <c r="AI71" s="12" t="str">
        <f t="shared" si="16"/>
        <v>INSERT INTO sy_perm_list (USER_CD, OPT_CD, ACCESS_TYPE, BRANCH_CODE, CLASS_CODE, ENT_BY, ENT_DATE, ENT_BY_IP)</v>
      </c>
      <c r="AJ71" s="12" t="str">
        <f t="shared" si="17"/>
        <v>VALUES('08801299','IpdClaim.aspx', 'USER', '01', '08', 'ABDUL', SYSDATE, '10.6.100.63');</v>
      </c>
      <c r="AK71" s="12" t="str">
        <f t="shared" si="18"/>
        <v>INSERT INTO sy_perm_list (USER_CD, OPT_CD, ACCESS_TYPE, BRANCH_CODE, CLASS_CODE, ENT_BY, ENT_DATE, ENT_BY_IP)</v>
      </c>
      <c r="AL71" s="12" t="str">
        <f t="shared" si="19"/>
        <v>VALUES('08801299','OpdClaim.aspx', 'USER', '01', '08', 'ABDUL', SYSDATE, '10.6.100.63');</v>
      </c>
      <c r="AM71" s="12" t="str">
        <f t="shared" si="20"/>
        <v>INSERT INTO sy_perm_list (USER_CD, OPT_CD, ACCESS_TYPE, BRANCH_CODE, CLASS_CODE, ENT_BY, ENT_DATE, ENT_BY_IP)</v>
      </c>
      <c r="AN71" s="12" t="str">
        <f t="shared" si="21"/>
        <v>VALUES('08801299','RequestDetails.aspx', 'USER', '01', '08', 'ABDUL', SYSDATE, '10.6.100.63');</v>
      </c>
      <c r="AO71" s="12" t="str">
        <f t="shared" si="22"/>
        <v>INSERT INTO sy_perm_list (USER_CD, OPT_CD, ACCESS_TYPE, BRANCH_CODE, CLASS_CODE, ENT_BY, ENT_DATE, ENT_BY_IP)</v>
      </c>
      <c r="AP71" s="12" t="str">
        <f t="shared" si="23"/>
        <v>VALUES('08801299','TodaysRequest.aspx', 'USER', '01', '08', 'ABDUL', SYSDATE, '10.6.100.63');</v>
      </c>
    </row>
    <row r="72" spans="1:42" s="6" customFormat="1" ht="12.75" x14ac:dyDescent="0.2">
      <c r="A72" s="4"/>
      <c r="B72" s="5" t="s">
        <v>710</v>
      </c>
      <c r="C72" s="5">
        <v>9000260</v>
      </c>
      <c r="D72" s="6" t="s">
        <v>289</v>
      </c>
      <c r="E72" s="6" t="s">
        <v>290</v>
      </c>
      <c r="F72" s="5" t="s">
        <v>287</v>
      </c>
      <c r="G72" s="6" t="s">
        <v>288</v>
      </c>
      <c r="H72" s="5" t="s">
        <v>650</v>
      </c>
      <c r="I72" s="5">
        <v>1006</v>
      </c>
      <c r="J72" s="5" t="s">
        <v>917</v>
      </c>
      <c r="K72" s="6" t="s">
        <v>292</v>
      </c>
      <c r="L72" s="6" t="s">
        <v>586</v>
      </c>
      <c r="M72" s="6" t="s">
        <v>587</v>
      </c>
      <c r="N72" s="7"/>
      <c r="O72" s="7"/>
      <c r="P72" s="7"/>
      <c r="Q72" s="8"/>
      <c r="R72" s="8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</row>
    <row r="73" spans="1:42" s="6" customFormat="1" ht="76.5" x14ac:dyDescent="0.2">
      <c r="A73" s="4">
        <v>60</v>
      </c>
      <c r="B73" s="5" t="s">
        <v>711</v>
      </c>
      <c r="C73" s="5">
        <v>9000241</v>
      </c>
      <c r="D73" s="6" t="s">
        <v>296</v>
      </c>
      <c r="E73" s="6" t="s">
        <v>290</v>
      </c>
      <c r="F73" s="5" t="s">
        <v>287</v>
      </c>
      <c r="G73" s="6" t="s">
        <v>288</v>
      </c>
      <c r="H73" s="5" t="s">
        <v>649</v>
      </c>
      <c r="I73" s="5">
        <v>574</v>
      </c>
      <c r="J73" s="5" t="s">
        <v>325</v>
      </c>
      <c r="K73" s="6" t="s">
        <v>32</v>
      </c>
      <c r="L73" s="6" t="s">
        <v>33</v>
      </c>
      <c r="M73" s="6" t="s">
        <v>34</v>
      </c>
      <c r="N73" s="7">
        <v>44035</v>
      </c>
      <c r="O73" s="7">
        <v>44013</v>
      </c>
      <c r="P73" s="7">
        <v>44377</v>
      </c>
      <c r="Q73" s="8">
        <v>34</v>
      </c>
      <c r="R73" s="8">
        <v>84</v>
      </c>
      <c r="S73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3" s="12" t="str">
        <f t="shared" si="1"/>
        <v>VALUES('08801380','HAROON OILS LIMITED','Salaam@123','Y','N',sysdate,'016', 'C', 'Client', 'farhatullahamiri@haroonoils.com','01','B', '08', 'ABDUL', sysdate, '10.6.100.63', '08801380');</v>
      </c>
      <c r="U73" s="12" t="str">
        <f t="shared" si="2"/>
        <v>INSERT INTO sy_user_branches (USER_CD, BRANCH_CODE, CLASS_CODE, ENT_BY, ENT_DATE, ENT_BY_IP)</v>
      </c>
      <c r="V73" s="12" t="str">
        <f t="shared" si="3"/>
        <v>values('08801380','01', '08', 'ABDUL', sysdate, '10.6.100.63');</v>
      </c>
      <c r="W73" s="12" t="str">
        <f t="shared" si="4"/>
        <v>INSERT INTO sy_perm_list (USER_CD, OPT_CD, ACCESS_TYPE, BRANCH_CODE, CLASS_CODE, ENT_BY, ENT_DATE, ENT_BY_IP)</v>
      </c>
      <c r="X73" s="12" t="str">
        <f t="shared" si="5"/>
        <v>VALUES('08801380','ClaimComments.aspx', 'USER', '01', '08', 'ABDUL', SYSDATE, '10.6.100.63');</v>
      </c>
      <c r="Y73" s="12" t="str">
        <f t="shared" si="6"/>
        <v>INSERT INTO sy_perm_list (USER_CD, OPT_CD, ACCESS_TYPE, BRANCH_CODE, CLASS_CODE, ENT_BY, ENT_DATE, ENT_BY_IP)</v>
      </c>
      <c r="Z73" s="12" t="str">
        <f t="shared" si="7"/>
        <v>VALUES('08801380','ClaimDocs.aspx', 'USER', '01', '08', 'ABDUL', SYSDATE, '10.6.100.63');</v>
      </c>
      <c r="AA73" s="12" t="str">
        <f t="shared" si="8"/>
        <v>INSERT INTO sy_perm_list (USER_CD, OPT_CD, ACCESS_TYPE, BRANCH_CODE, CLASS_CODE, ENT_BY, ENT_DATE, ENT_BY_IP)</v>
      </c>
      <c r="AB73" s="12" t="str">
        <f t="shared" si="9"/>
        <v>VALUES('08801380','Client.aspx', 'USER', '01', '08', 'ABDUL', SYSDATE, '10.6.100.63');</v>
      </c>
      <c r="AC73" s="12" t="str">
        <f t="shared" si="10"/>
        <v>INSERT INTO sy_perm_list (USER_CD, OPT_CD, ACCESS_TYPE, BRANCH_CODE, CLASS_CODE, ENT_BY, ENT_DATE, ENT_BY_IP)</v>
      </c>
      <c r="AD73" s="12" t="str">
        <f t="shared" si="11"/>
        <v>VALUES('08801380','ClientReports.aspx', 'USER', '01', '08', 'ABDUL', SYSDATE, '10.6.100.63');</v>
      </c>
      <c r="AE73" s="12" t="str">
        <f t="shared" si="12"/>
        <v>INSERT INTO sy_perm_list (USER_CD, OPT_CD, ACCESS_TYPE, BRANCH_CODE, CLASS_CODE, ENT_BY, ENT_DATE, ENT_BY_IP)</v>
      </c>
      <c r="AF73" s="12" t="str">
        <f t="shared" si="13"/>
        <v>VALUES('08801380','ClientRequests.aspx', 'USER', '01', '08', 'ABDUL', SYSDATE, '10.6.100.63');</v>
      </c>
      <c r="AG73" s="12" t="str">
        <f t="shared" si="14"/>
        <v>INSERT INTO sy_perm_list (USER_CD, OPT_CD, ACCESS_TYPE, BRANCH_CODE, CLASS_CODE, ENT_BY, ENT_DATE, ENT_BY_IP)</v>
      </c>
      <c r="AH73" s="12" t="str">
        <f t="shared" si="15"/>
        <v>VALUES('08801380','HealthLife.aspx', 'USER', '01', '08', 'ABDUL', SYSDATE, '10.6.100.63');</v>
      </c>
      <c r="AI73" s="12" t="str">
        <f t="shared" si="16"/>
        <v>INSERT INTO sy_perm_list (USER_CD, OPT_CD, ACCESS_TYPE, BRANCH_CODE, CLASS_CODE, ENT_BY, ENT_DATE, ENT_BY_IP)</v>
      </c>
      <c r="AJ73" s="12" t="str">
        <f t="shared" si="17"/>
        <v>VALUES('08801380','IpdClaim.aspx', 'USER', '01', '08', 'ABDUL', SYSDATE, '10.6.100.63');</v>
      </c>
      <c r="AK73" s="12" t="str">
        <f t="shared" si="18"/>
        <v>INSERT INTO sy_perm_list (USER_CD, OPT_CD, ACCESS_TYPE, BRANCH_CODE, CLASS_CODE, ENT_BY, ENT_DATE, ENT_BY_IP)</v>
      </c>
      <c r="AL73" s="12" t="str">
        <f t="shared" si="19"/>
        <v>VALUES('08801380','OpdClaim.aspx', 'USER', '01', '08', 'ABDUL', SYSDATE, '10.6.100.63');</v>
      </c>
      <c r="AM73" s="12" t="str">
        <f t="shared" si="20"/>
        <v>INSERT INTO sy_perm_list (USER_CD, OPT_CD, ACCESS_TYPE, BRANCH_CODE, CLASS_CODE, ENT_BY, ENT_DATE, ENT_BY_IP)</v>
      </c>
      <c r="AN73" s="12" t="str">
        <f t="shared" si="21"/>
        <v>VALUES('08801380','RequestDetails.aspx', 'USER', '01', '08', 'ABDUL', SYSDATE, '10.6.100.63');</v>
      </c>
      <c r="AO73" s="12" t="str">
        <f t="shared" si="22"/>
        <v>INSERT INTO sy_perm_list (USER_CD, OPT_CD, ACCESS_TYPE, BRANCH_CODE, CLASS_CODE, ENT_BY, ENT_DATE, ENT_BY_IP)</v>
      </c>
      <c r="AP73" s="12" t="str">
        <f t="shared" si="23"/>
        <v>VALUES('08801380','TodaysRequest.aspx', 'USER', '01', '08', 'ABDUL', SYSDATE, '10.6.100.63');</v>
      </c>
    </row>
    <row r="74" spans="1:42" s="6" customFormat="1" ht="76.5" x14ac:dyDescent="0.2">
      <c r="A74" s="4">
        <v>61</v>
      </c>
      <c r="B74" s="5" t="s">
        <v>712</v>
      </c>
      <c r="C74" s="5">
        <v>9000242</v>
      </c>
      <c r="D74" s="6" t="s">
        <v>385</v>
      </c>
      <c r="E74" s="6" t="s">
        <v>290</v>
      </c>
      <c r="F74" s="5" t="s">
        <v>287</v>
      </c>
      <c r="G74" s="6" t="s">
        <v>288</v>
      </c>
      <c r="H74" s="5" t="s">
        <v>649</v>
      </c>
      <c r="I74" s="5">
        <v>708</v>
      </c>
      <c r="J74" s="5" t="s">
        <v>424</v>
      </c>
      <c r="K74" s="6" t="s">
        <v>425</v>
      </c>
      <c r="L74" s="6" t="s">
        <v>200</v>
      </c>
      <c r="M74" s="6" t="s">
        <v>201</v>
      </c>
      <c r="N74" s="7">
        <v>44195</v>
      </c>
      <c r="O74" s="7">
        <v>44196</v>
      </c>
      <c r="P74" s="7">
        <v>44561</v>
      </c>
      <c r="Q74" s="8">
        <v>257</v>
      </c>
      <c r="R74" s="8">
        <v>257</v>
      </c>
      <c r="S7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4" s="12" t="str">
        <f t="shared" si="1"/>
        <v>VALUES('08801180','HASNAIN TANWEER ASSOCIATES (PVT) LTD','Salaam@123','Y','N',sysdate,'016', 'C', 'Client', 'daniyal@hasnain.biz','01','B', '08', 'ABDUL', sysdate, '10.6.100.63', '08801180');</v>
      </c>
      <c r="U74" s="12" t="str">
        <f t="shared" si="2"/>
        <v>INSERT INTO sy_user_branches (USER_CD, BRANCH_CODE, CLASS_CODE, ENT_BY, ENT_DATE, ENT_BY_IP)</v>
      </c>
      <c r="V74" s="12" t="str">
        <f t="shared" si="3"/>
        <v>values('08801180','01', '08', 'ABDUL', sysdate, '10.6.100.63');</v>
      </c>
      <c r="W74" s="12" t="str">
        <f t="shared" si="4"/>
        <v>INSERT INTO sy_perm_list (USER_CD, OPT_CD, ACCESS_TYPE, BRANCH_CODE, CLASS_CODE, ENT_BY, ENT_DATE, ENT_BY_IP)</v>
      </c>
      <c r="X74" s="12" t="str">
        <f t="shared" si="5"/>
        <v>VALUES('08801180','ClaimComments.aspx', 'USER', '01', '08', 'ABDUL', SYSDATE, '10.6.100.63');</v>
      </c>
      <c r="Y74" s="12" t="str">
        <f t="shared" si="6"/>
        <v>INSERT INTO sy_perm_list (USER_CD, OPT_CD, ACCESS_TYPE, BRANCH_CODE, CLASS_CODE, ENT_BY, ENT_DATE, ENT_BY_IP)</v>
      </c>
      <c r="Z74" s="12" t="str">
        <f t="shared" si="7"/>
        <v>VALUES('08801180','ClaimDocs.aspx', 'USER', '01', '08', 'ABDUL', SYSDATE, '10.6.100.63');</v>
      </c>
      <c r="AA74" s="12" t="str">
        <f t="shared" si="8"/>
        <v>INSERT INTO sy_perm_list (USER_CD, OPT_CD, ACCESS_TYPE, BRANCH_CODE, CLASS_CODE, ENT_BY, ENT_DATE, ENT_BY_IP)</v>
      </c>
      <c r="AB74" s="12" t="str">
        <f t="shared" si="9"/>
        <v>VALUES('08801180','Client.aspx', 'USER', '01', '08', 'ABDUL', SYSDATE, '10.6.100.63');</v>
      </c>
      <c r="AC74" s="12" t="str">
        <f t="shared" si="10"/>
        <v>INSERT INTO sy_perm_list (USER_CD, OPT_CD, ACCESS_TYPE, BRANCH_CODE, CLASS_CODE, ENT_BY, ENT_DATE, ENT_BY_IP)</v>
      </c>
      <c r="AD74" s="12" t="str">
        <f t="shared" si="11"/>
        <v>VALUES('08801180','ClientReports.aspx', 'USER', '01', '08', 'ABDUL', SYSDATE, '10.6.100.63');</v>
      </c>
      <c r="AE74" s="12" t="str">
        <f t="shared" si="12"/>
        <v>INSERT INTO sy_perm_list (USER_CD, OPT_CD, ACCESS_TYPE, BRANCH_CODE, CLASS_CODE, ENT_BY, ENT_DATE, ENT_BY_IP)</v>
      </c>
      <c r="AF74" s="12" t="str">
        <f t="shared" si="13"/>
        <v>VALUES('08801180','ClientRequests.aspx', 'USER', '01', '08', 'ABDUL', SYSDATE, '10.6.100.63');</v>
      </c>
      <c r="AG74" s="12" t="str">
        <f t="shared" si="14"/>
        <v>INSERT INTO sy_perm_list (USER_CD, OPT_CD, ACCESS_TYPE, BRANCH_CODE, CLASS_CODE, ENT_BY, ENT_DATE, ENT_BY_IP)</v>
      </c>
      <c r="AH74" s="12" t="str">
        <f t="shared" si="15"/>
        <v>VALUES('08801180','HealthLife.aspx', 'USER', '01', '08', 'ABDUL', SYSDATE, '10.6.100.63');</v>
      </c>
      <c r="AI74" s="12" t="str">
        <f t="shared" si="16"/>
        <v>INSERT INTO sy_perm_list (USER_CD, OPT_CD, ACCESS_TYPE, BRANCH_CODE, CLASS_CODE, ENT_BY, ENT_DATE, ENT_BY_IP)</v>
      </c>
      <c r="AJ74" s="12" t="str">
        <f t="shared" si="17"/>
        <v>VALUES('08801180','IpdClaim.aspx', 'USER', '01', '08', 'ABDUL', SYSDATE, '10.6.100.63');</v>
      </c>
      <c r="AK74" s="12" t="str">
        <f t="shared" si="18"/>
        <v>INSERT INTO sy_perm_list (USER_CD, OPT_CD, ACCESS_TYPE, BRANCH_CODE, CLASS_CODE, ENT_BY, ENT_DATE, ENT_BY_IP)</v>
      </c>
      <c r="AL74" s="12" t="str">
        <f t="shared" si="19"/>
        <v>VALUES('08801180','OpdClaim.aspx', 'USER', '01', '08', 'ABDUL', SYSDATE, '10.6.100.63');</v>
      </c>
      <c r="AM74" s="12" t="str">
        <f t="shared" si="20"/>
        <v>INSERT INTO sy_perm_list (USER_CD, OPT_CD, ACCESS_TYPE, BRANCH_CODE, CLASS_CODE, ENT_BY, ENT_DATE, ENT_BY_IP)</v>
      </c>
      <c r="AN74" s="12" t="str">
        <f t="shared" si="21"/>
        <v>VALUES('08801180','RequestDetails.aspx', 'USER', '01', '08', 'ABDUL', SYSDATE, '10.6.100.63');</v>
      </c>
      <c r="AO74" s="12" t="str">
        <f t="shared" si="22"/>
        <v>INSERT INTO sy_perm_list (USER_CD, OPT_CD, ACCESS_TYPE, BRANCH_CODE, CLASS_CODE, ENT_BY, ENT_DATE, ENT_BY_IP)</v>
      </c>
      <c r="AP74" s="12" t="str">
        <f t="shared" si="23"/>
        <v>VALUES('08801180','TodaysRequest.aspx', 'USER', '01', '08', 'ABDUL', SYSDATE, '10.6.100.63');</v>
      </c>
    </row>
    <row r="75" spans="1:42" s="6" customFormat="1" ht="78" thickBot="1" x14ac:dyDescent="0.3">
      <c r="A75" s="4"/>
      <c r="B75" s="43" t="s">
        <v>1150</v>
      </c>
      <c r="C75" s="5">
        <v>9000242</v>
      </c>
      <c r="D75" s="6" t="s">
        <v>385</v>
      </c>
      <c r="E75" s="6" t="s">
        <v>290</v>
      </c>
      <c r="F75" s="5" t="s">
        <v>287</v>
      </c>
      <c r="G75" s="6" t="s">
        <v>288</v>
      </c>
      <c r="H75" s="5" t="s">
        <v>649</v>
      </c>
      <c r="I75" s="5">
        <v>1044</v>
      </c>
      <c r="J75" s="46" t="s">
        <v>1149</v>
      </c>
      <c r="K75" s="6" t="s">
        <v>425</v>
      </c>
      <c r="L75" s="10" t="s">
        <v>1151</v>
      </c>
      <c r="M75" s="6" t="s">
        <v>203</v>
      </c>
      <c r="N75" s="7"/>
      <c r="O75" s="7"/>
      <c r="P75" s="7"/>
      <c r="Q75" s="8"/>
      <c r="R75" s="8"/>
      <c r="S75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5" s="12" t="str">
        <f>"VALUES('"&amp;B75&amp;"','"&amp;K75&amp;"','Salaam@123','Y','N',sysdate,'016', 'C', 'Client', '"&amp;M75&amp;"','01','B', '08', 'ABDUL', sysdate, '10.6.100.63', '"&amp;B75&amp;"');"</f>
        <v>VALUES('088011801','HASNAIN TANWEER ASSOCIATES (PVT) LTD','Salaam@123','Y','N',sysdate,'016', 'C', 'Client', 'fasih.ahmed@rmspk.com','01','B', '08', 'ABDUL', sysdate, '10.6.100.63', '088011801');</v>
      </c>
      <c r="U75" s="12" t="str">
        <f t="shared" si="2"/>
        <v>INSERT INTO sy_user_branches (USER_CD, BRANCH_CODE, CLASS_CODE, ENT_BY, ENT_DATE, ENT_BY_IP)</v>
      </c>
      <c r="V75" s="12" t="str">
        <f>"values('"&amp;B75&amp;"','01', '08', 'ABDUL', sysdate, '10.6.100.63');"</f>
        <v>values('088011801','01', '08', 'ABDUL', sysdate, '10.6.100.63');</v>
      </c>
      <c r="W75" s="12" t="str">
        <f t="shared" si="4"/>
        <v>INSERT INTO sy_perm_list (USER_CD, OPT_CD, ACCESS_TYPE, BRANCH_CODE, CLASS_CODE, ENT_BY, ENT_DATE, ENT_BY_IP)</v>
      </c>
      <c r="X75" s="12" t="str">
        <f>"VALUES('"&amp;B75&amp;"','ClaimComments.aspx', 'USER', '01', '08', 'ABDUL', SYSDATE, '10.6.100.63');"</f>
        <v>VALUES('088011801','ClaimComments.aspx', 'USER', '01', '08', 'ABDUL', SYSDATE, '10.6.100.63');</v>
      </c>
      <c r="Y75" s="12" t="str">
        <f t="shared" si="6"/>
        <v>INSERT INTO sy_perm_list (USER_CD, OPT_CD, ACCESS_TYPE, BRANCH_CODE, CLASS_CODE, ENT_BY, ENT_DATE, ENT_BY_IP)</v>
      </c>
      <c r="Z75" s="12" t="str">
        <f>"VALUES('"&amp;B75&amp;"','ClaimDocs.aspx', 'USER', '01', '08', 'ABDUL', SYSDATE, '10.6.100.63');"</f>
        <v>VALUES('088011801','ClaimDocs.aspx', 'USER', '01', '08', 'ABDUL', SYSDATE, '10.6.100.63');</v>
      </c>
      <c r="AA75" s="12" t="str">
        <f t="shared" si="8"/>
        <v>INSERT INTO sy_perm_list (USER_CD, OPT_CD, ACCESS_TYPE, BRANCH_CODE, CLASS_CODE, ENT_BY, ENT_DATE, ENT_BY_IP)</v>
      </c>
      <c r="AB75" s="12" t="str">
        <f>"VALUES('"&amp;B75&amp;"','Client.aspx', 'USER', '01', '08', 'ABDUL', SYSDATE, '10.6.100.63');"</f>
        <v>VALUES('088011801','Client.aspx', 'USER', '01', '08', 'ABDUL', SYSDATE, '10.6.100.63');</v>
      </c>
      <c r="AC75" s="12" t="str">
        <f t="shared" si="10"/>
        <v>INSERT INTO sy_perm_list (USER_CD, OPT_CD, ACCESS_TYPE, BRANCH_CODE, CLASS_CODE, ENT_BY, ENT_DATE, ENT_BY_IP)</v>
      </c>
      <c r="AD75" s="12" t="str">
        <f>"VALUES('"&amp;B75&amp;"','ClientReports.aspx', 'USER', '01', '08', 'ABDUL', SYSDATE, '10.6.100.63');"</f>
        <v>VALUES('088011801','ClientReports.aspx', 'USER', '01', '08', 'ABDUL', SYSDATE, '10.6.100.63');</v>
      </c>
      <c r="AE75" s="12" t="str">
        <f t="shared" si="12"/>
        <v>INSERT INTO sy_perm_list (USER_CD, OPT_CD, ACCESS_TYPE, BRANCH_CODE, CLASS_CODE, ENT_BY, ENT_DATE, ENT_BY_IP)</v>
      </c>
      <c r="AF75" s="12" t="str">
        <f>"VALUES('"&amp;B75&amp;"','ClientRequests.aspx', 'USER', '01', '08', 'ABDUL', SYSDATE, '10.6.100.63');"</f>
        <v>VALUES('088011801','ClientRequests.aspx', 'USER', '01', '08', 'ABDUL', SYSDATE, '10.6.100.63');</v>
      </c>
      <c r="AG75" s="12" t="str">
        <f t="shared" si="14"/>
        <v>INSERT INTO sy_perm_list (USER_CD, OPT_CD, ACCESS_TYPE, BRANCH_CODE, CLASS_CODE, ENT_BY, ENT_DATE, ENT_BY_IP)</v>
      </c>
      <c r="AH75" s="12" t="str">
        <f>"VALUES('"&amp;B75&amp;"','HealthLife.aspx', 'USER', '01', '08', 'ABDUL', SYSDATE, '10.6.100.63');"</f>
        <v>VALUES('088011801','HealthLife.aspx', 'USER', '01', '08', 'ABDUL', SYSDATE, '10.6.100.63');</v>
      </c>
      <c r="AI75" s="12" t="str">
        <f t="shared" si="16"/>
        <v>INSERT INTO sy_perm_list (USER_CD, OPT_CD, ACCESS_TYPE, BRANCH_CODE, CLASS_CODE, ENT_BY, ENT_DATE, ENT_BY_IP)</v>
      </c>
      <c r="AJ75" s="12" t="str">
        <f>"VALUES('"&amp;B75&amp;"','IpdClaim.aspx', 'USER', '01', '08', 'ABDUL', SYSDATE, '10.6.100.63');"</f>
        <v>VALUES('088011801','IpdClaim.aspx', 'USER', '01', '08', 'ABDUL', SYSDATE, '10.6.100.63');</v>
      </c>
      <c r="AK75" s="12" t="str">
        <f t="shared" si="18"/>
        <v>INSERT INTO sy_perm_list (USER_CD, OPT_CD, ACCESS_TYPE, BRANCH_CODE, CLASS_CODE, ENT_BY, ENT_DATE, ENT_BY_IP)</v>
      </c>
      <c r="AL75" s="12" t="str">
        <f>"VALUES('"&amp;B75&amp;"','OpdClaim.aspx', 'USER', '01', '08', 'ABDUL', SYSDATE, '10.6.100.63');"</f>
        <v>VALUES('088011801','OpdClaim.aspx', 'USER', '01', '08', 'ABDUL', SYSDATE, '10.6.100.63');</v>
      </c>
      <c r="AM75" s="12" t="str">
        <f t="shared" si="20"/>
        <v>INSERT INTO sy_perm_list (USER_CD, OPT_CD, ACCESS_TYPE, BRANCH_CODE, CLASS_CODE, ENT_BY, ENT_DATE, ENT_BY_IP)</v>
      </c>
      <c r="AN75" s="12" t="str">
        <f>"VALUES('"&amp;B75&amp;"','RequestDetails.aspx', 'USER', '01', '08', 'ABDUL', SYSDATE, '10.6.100.63');"</f>
        <v>VALUES('088011801','RequestDetails.aspx', 'USER', '01', '08', 'ABDUL', SYSDATE, '10.6.100.63');</v>
      </c>
      <c r="AO75" s="12" t="str">
        <f t="shared" si="22"/>
        <v>INSERT INTO sy_perm_list (USER_CD, OPT_CD, ACCESS_TYPE, BRANCH_CODE, CLASS_CODE, ENT_BY, ENT_DATE, ENT_BY_IP)</v>
      </c>
      <c r="AP75" s="12" t="str">
        <f>"VALUES('"&amp;B75&amp;"','TodaysRequest.aspx', 'USER', '01', '08', 'ABDUL', SYSDATE, '10.6.100.63');"</f>
        <v>VALUES('088011801','TodaysRequest.aspx', 'USER', '01', '08', 'ABDUL', SYSDATE, '10.6.100.63');</v>
      </c>
    </row>
    <row r="76" spans="1:42" s="6" customFormat="1" ht="76.5" x14ac:dyDescent="0.2">
      <c r="A76" s="4">
        <v>62</v>
      </c>
      <c r="B76" s="5" t="s">
        <v>713</v>
      </c>
      <c r="C76" s="5">
        <v>9000157</v>
      </c>
      <c r="D76" s="6" t="s">
        <v>307</v>
      </c>
      <c r="E76" s="6" t="s">
        <v>299</v>
      </c>
      <c r="F76" s="5" t="s">
        <v>287</v>
      </c>
      <c r="G76" s="6" t="s">
        <v>288</v>
      </c>
      <c r="H76" s="5" t="s">
        <v>651</v>
      </c>
      <c r="I76" s="5">
        <v>540</v>
      </c>
      <c r="J76" s="5" t="s">
        <v>308</v>
      </c>
      <c r="K76" s="6" t="s">
        <v>309</v>
      </c>
      <c r="L76" s="6" t="s">
        <v>588</v>
      </c>
      <c r="M76" s="6" t="s">
        <v>589</v>
      </c>
      <c r="N76" s="7">
        <v>43991</v>
      </c>
      <c r="O76" s="7">
        <v>43941</v>
      </c>
      <c r="P76" s="7">
        <v>44305</v>
      </c>
      <c r="Q76" s="8">
        <v>273</v>
      </c>
      <c r="R76" s="8">
        <v>1052</v>
      </c>
      <c r="S7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6" s="12" t="str">
        <f t="shared" si="1"/>
        <v>VALUES('08801335','HAZARA DEVELOPMENT &amp; ADVOCACY FOUNDATION','Salaam@123','Y','N',sysdate,'016', 'C', 'Client', 'ghulamsarwar1999@gmail.com','01','B', '08', 'ABDUL', sysdate, '10.6.100.63', '08801335');</v>
      </c>
      <c r="U76" s="12" t="str">
        <f t="shared" si="2"/>
        <v>INSERT INTO sy_user_branches (USER_CD, BRANCH_CODE, CLASS_CODE, ENT_BY, ENT_DATE, ENT_BY_IP)</v>
      </c>
      <c r="V76" s="12" t="str">
        <f t="shared" si="3"/>
        <v>values('08801335','01', '08', 'ABDUL', sysdate, '10.6.100.63');</v>
      </c>
      <c r="W76" s="12" t="str">
        <f t="shared" si="4"/>
        <v>INSERT INTO sy_perm_list (USER_CD, OPT_CD, ACCESS_TYPE, BRANCH_CODE, CLASS_CODE, ENT_BY, ENT_DATE, ENT_BY_IP)</v>
      </c>
      <c r="X76" s="12" t="str">
        <f t="shared" si="5"/>
        <v>VALUES('08801335','ClaimComments.aspx', 'USER', '01', '08', 'ABDUL', SYSDATE, '10.6.100.63');</v>
      </c>
      <c r="Y76" s="12" t="str">
        <f t="shared" si="6"/>
        <v>INSERT INTO sy_perm_list (USER_CD, OPT_CD, ACCESS_TYPE, BRANCH_CODE, CLASS_CODE, ENT_BY, ENT_DATE, ENT_BY_IP)</v>
      </c>
      <c r="Z76" s="12" t="str">
        <f t="shared" si="7"/>
        <v>VALUES('08801335','ClaimDocs.aspx', 'USER', '01', '08', 'ABDUL', SYSDATE, '10.6.100.63');</v>
      </c>
      <c r="AA76" s="12" t="str">
        <f t="shared" si="8"/>
        <v>INSERT INTO sy_perm_list (USER_CD, OPT_CD, ACCESS_TYPE, BRANCH_CODE, CLASS_CODE, ENT_BY, ENT_DATE, ENT_BY_IP)</v>
      </c>
      <c r="AB76" s="12" t="str">
        <f t="shared" si="9"/>
        <v>VALUES('08801335','Client.aspx', 'USER', '01', '08', 'ABDUL', SYSDATE, '10.6.100.63');</v>
      </c>
      <c r="AC76" s="12" t="str">
        <f t="shared" si="10"/>
        <v>INSERT INTO sy_perm_list (USER_CD, OPT_CD, ACCESS_TYPE, BRANCH_CODE, CLASS_CODE, ENT_BY, ENT_DATE, ENT_BY_IP)</v>
      </c>
      <c r="AD76" s="12" t="str">
        <f t="shared" si="11"/>
        <v>VALUES('08801335','ClientReports.aspx', 'USER', '01', '08', 'ABDUL', SYSDATE, '10.6.100.63');</v>
      </c>
      <c r="AE76" s="12" t="str">
        <f t="shared" si="12"/>
        <v>INSERT INTO sy_perm_list (USER_CD, OPT_CD, ACCESS_TYPE, BRANCH_CODE, CLASS_CODE, ENT_BY, ENT_DATE, ENT_BY_IP)</v>
      </c>
      <c r="AF76" s="12" t="str">
        <f t="shared" si="13"/>
        <v>VALUES('08801335','ClientRequests.aspx', 'USER', '01', '08', 'ABDUL', SYSDATE, '10.6.100.63');</v>
      </c>
      <c r="AG76" s="12" t="str">
        <f t="shared" si="14"/>
        <v>INSERT INTO sy_perm_list (USER_CD, OPT_CD, ACCESS_TYPE, BRANCH_CODE, CLASS_CODE, ENT_BY, ENT_DATE, ENT_BY_IP)</v>
      </c>
      <c r="AH76" s="12" t="str">
        <f t="shared" si="15"/>
        <v>VALUES('08801335','HealthLife.aspx', 'USER', '01', '08', 'ABDUL', SYSDATE, '10.6.100.63');</v>
      </c>
      <c r="AI76" s="12" t="str">
        <f t="shared" si="16"/>
        <v>INSERT INTO sy_perm_list (USER_CD, OPT_CD, ACCESS_TYPE, BRANCH_CODE, CLASS_CODE, ENT_BY, ENT_DATE, ENT_BY_IP)</v>
      </c>
      <c r="AJ76" s="12" t="str">
        <f t="shared" si="17"/>
        <v>VALUES('08801335','IpdClaim.aspx', 'USER', '01', '08', 'ABDUL', SYSDATE, '10.6.100.63');</v>
      </c>
      <c r="AK76" s="12" t="str">
        <f t="shared" si="18"/>
        <v>INSERT INTO sy_perm_list (USER_CD, OPT_CD, ACCESS_TYPE, BRANCH_CODE, CLASS_CODE, ENT_BY, ENT_DATE, ENT_BY_IP)</v>
      </c>
      <c r="AL76" s="12" t="str">
        <f t="shared" si="19"/>
        <v>VALUES('08801335','OpdClaim.aspx', 'USER', '01', '08', 'ABDUL', SYSDATE, '10.6.100.63');</v>
      </c>
      <c r="AM76" s="12" t="str">
        <f t="shared" si="20"/>
        <v>INSERT INTO sy_perm_list (USER_CD, OPT_CD, ACCESS_TYPE, BRANCH_CODE, CLASS_CODE, ENT_BY, ENT_DATE, ENT_BY_IP)</v>
      </c>
      <c r="AN76" s="12" t="str">
        <f t="shared" si="21"/>
        <v>VALUES('08801335','RequestDetails.aspx', 'USER', '01', '08', 'ABDUL', SYSDATE, '10.6.100.63');</v>
      </c>
      <c r="AO76" s="12" t="str">
        <f t="shared" si="22"/>
        <v>INSERT INTO sy_perm_list (USER_CD, OPT_CD, ACCESS_TYPE, BRANCH_CODE, CLASS_CODE, ENT_BY, ENT_DATE, ENT_BY_IP)</v>
      </c>
      <c r="AP76" s="12" t="str">
        <f t="shared" si="23"/>
        <v>VALUES('08801335','TodaysRequest.aspx', 'USER', '01', '08', 'ABDUL', SYSDATE, '10.6.100.63');</v>
      </c>
    </row>
    <row r="77" spans="1:42" s="6" customFormat="1" ht="76.5" x14ac:dyDescent="0.2">
      <c r="A77" s="4">
        <v>63</v>
      </c>
      <c r="B77" s="5" t="s">
        <v>714</v>
      </c>
      <c r="C77" s="5">
        <v>9000221</v>
      </c>
      <c r="D77" s="6" t="s">
        <v>285</v>
      </c>
      <c r="E77" s="6" t="s">
        <v>286</v>
      </c>
      <c r="F77" s="5" t="s">
        <v>287</v>
      </c>
      <c r="G77" s="6" t="s">
        <v>288</v>
      </c>
      <c r="H77" s="5" t="s">
        <v>649</v>
      </c>
      <c r="I77" s="5">
        <v>539</v>
      </c>
      <c r="J77" s="5" t="s">
        <v>306</v>
      </c>
      <c r="K77" s="6" t="s">
        <v>6</v>
      </c>
      <c r="L77" s="6" t="s">
        <v>104</v>
      </c>
      <c r="M77" s="6" t="s">
        <v>7</v>
      </c>
      <c r="N77" s="7">
        <v>43990</v>
      </c>
      <c r="O77" s="7">
        <v>43922</v>
      </c>
      <c r="P77" s="7">
        <v>44286</v>
      </c>
      <c r="Q77" s="8">
        <v>119</v>
      </c>
      <c r="R77" s="8">
        <v>317</v>
      </c>
      <c r="S77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7" s="12" t="str">
        <f t="shared" si="1"/>
        <v>VALUES('08003612','HEALTHTEK (PVT.) LIMITED','Salaam@123','Y','N',sysdate,'016', 'C', 'Client', 'healthcare@samikhi.com','01','B', '08', 'ABDUL', sysdate, '10.6.100.63', '08003612');</v>
      </c>
      <c r="U77" s="12" t="str">
        <f t="shared" si="2"/>
        <v>INSERT INTO sy_user_branches (USER_CD, BRANCH_CODE, CLASS_CODE, ENT_BY, ENT_DATE, ENT_BY_IP)</v>
      </c>
      <c r="V77" s="12" t="str">
        <f t="shared" si="3"/>
        <v>values('08003612','01', '08', 'ABDUL', sysdate, '10.6.100.63');</v>
      </c>
      <c r="W77" s="12" t="str">
        <f t="shared" si="4"/>
        <v>INSERT INTO sy_perm_list (USER_CD, OPT_CD, ACCESS_TYPE, BRANCH_CODE, CLASS_CODE, ENT_BY, ENT_DATE, ENT_BY_IP)</v>
      </c>
      <c r="X77" s="12" t="str">
        <f t="shared" si="5"/>
        <v>VALUES('08003612','ClaimComments.aspx', 'USER', '01', '08', 'ABDUL', SYSDATE, '10.6.100.63');</v>
      </c>
      <c r="Y77" s="12" t="str">
        <f t="shared" si="6"/>
        <v>INSERT INTO sy_perm_list (USER_CD, OPT_CD, ACCESS_TYPE, BRANCH_CODE, CLASS_CODE, ENT_BY, ENT_DATE, ENT_BY_IP)</v>
      </c>
      <c r="Z77" s="12" t="str">
        <f t="shared" si="7"/>
        <v>VALUES('08003612','ClaimDocs.aspx', 'USER', '01', '08', 'ABDUL', SYSDATE, '10.6.100.63');</v>
      </c>
      <c r="AA77" s="12" t="str">
        <f t="shared" si="8"/>
        <v>INSERT INTO sy_perm_list (USER_CD, OPT_CD, ACCESS_TYPE, BRANCH_CODE, CLASS_CODE, ENT_BY, ENT_DATE, ENT_BY_IP)</v>
      </c>
      <c r="AB77" s="12" t="str">
        <f t="shared" si="9"/>
        <v>VALUES('08003612','Client.aspx', 'USER', '01', '08', 'ABDUL', SYSDATE, '10.6.100.63');</v>
      </c>
      <c r="AC77" s="12" t="str">
        <f t="shared" si="10"/>
        <v>INSERT INTO sy_perm_list (USER_CD, OPT_CD, ACCESS_TYPE, BRANCH_CODE, CLASS_CODE, ENT_BY, ENT_DATE, ENT_BY_IP)</v>
      </c>
      <c r="AD77" s="12" t="str">
        <f t="shared" si="11"/>
        <v>VALUES('08003612','ClientReports.aspx', 'USER', '01', '08', 'ABDUL', SYSDATE, '10.6.100.63');</v>
      </c>
      <c r="AE77" s="12" t="str">
        <f t="shared" si="12"/>
        <v>INSERT INTO sy_perm_list (USER_CD, OPT_CD, ACCESS_TYPE, BRANCH_CODE, CLASS_CODE, ENT_BY, ENT_DATE, ENT_BY_IP)</v>
      </c>
      <c r="AF77" s="12" t="str">
        <f t="shared" si="13"/>
        <v>VALUES('08003612','ClientRequests.aspx', 'USER', '01', '08', 'ABDUL', SYSDATE, '10.6.100.63');</v>
      </c>
      <c r="AG77" s="12" t="str">
        <f t="shared" si="14"/>
        <v>INSERT INTO sy_perm_list (USER_CD, OPT_CD, ACCESS_TYPE, BRANCH_CODE, CLASS_CODE, ENT_BY, ENT_DATE, ENT_BY_IP)</v>
      </c>
      <c r="AH77" s="12" t="str">
        <f t="shared" si="15"/>
        <v>VALUES('08003612','HealthLife.aspx', 'USER', '01', '08', 'ABDUL', SYSDATE, '10.6.100.63');</v>
      </c>
      <c r="AI77" s="12" t="str">
        <f t="shared" si="16"/>
        <v>INSERT INTO sy_perm_list (USER_CD, OPT_CD, ACCESS_TYPE, BRANCH_CODE, CLASS_CODE, ENT_BY, ENT_DATE, ENT_BY_IP)</v>
      </c>
      <c r="AJ77" s="12" t="str">
        <f t="shared" si="17"/>
        <v>VALUES('08003612','IpdClaim.aspx', 'USER', '01', '08', 'ABDUL', SYSDATE, '10.6.100.63');</v>
      </c>
      <c r="AK77" s="12" t="str">
        <f t="shared" si="18"/>
        <v>INSERT INTO sy_perm_list (USER_CD, OPT_CD, ACCESS_TYPE, BRANCH_CODE, CLASS_CODE, ENT_BY, ENT_DATE, ENT_BY_IP)</v>
      </c>
      <c r="AL77" s="12" t="str">
        <f t="shared" si="19"/>
        <v>VALUES('08003612','OpdClaim.aspx', 'USER', '01', '08', 'ABDUL', SYSDATE, '10.6.100.63');</v>
      </c>
      <c r="AM77" s="12" t="str">
        <f t="shared" si="20"/>
        <v>INSERT INTO sy_perm_list (USER_CD, OPT_CD, ACCESS_TYPE, BRANCH_CODE, CLASS_CODE, ENT_BY, ENT_DATE, ENT_BY_IP)</v>
      </c>
      <c r="AN77" s="12" t="str">
        <f t="shared" si="21"/>
        <v>VALUES('08003612','RequestDetails.aspx', 'USER', '01', '08', 'ABDUL', SYSDATE, '10.6.100.63');</v>
      </c>
      <c r="AO77" s="12" t="str">
        <f t="shared" si="22"/>
        <v>INSERT INTO sy_perm_list (USER_CD, OPT_CD, ACCESS_TYPE, BRANCH_CODE, CLASS_CODE, ENT_BY, ENT_DATE, ENT_BY_IP)</v>
      </c>
      <c r="AP77" s="12" t="str">
        <f t="shared" si="23"/>
        <v>VALUES('08003612','TodaysRequest.aspx', 'USER', '01', '08', 'ABDUL', SYSDATE, '10.6.100.63');</v>
      </c>
    </row>
    <row r="78" spans="1:42" s="6" customFormat="1" ht="76.5" x14ac:dyDescent="0.2">
      <c r="A78" s="4">
        <v>64</v>
      </c>
      <c r="B78" s="5" t="s">
        <v>715</v>
      </c>
      <c r="C78" s="5">
        <v>9000241</v>
      </c>
      <c r="D78" s="6" t="s">
        <v>296</v>
      </c>
      <c r="E78" s="6" t="s">
        <v>290</v>
      </c>
      <c r="F78" s="5" t="s">
        <v>287</v>
      </c>
      <c r="G78" s="6" t="s">
        <v>288</v>
      </c>
      <c r="H78" s="5" t="s">
        <v>649</v>
      </c>
      <c r="I78" s="5">
        <v>764</v>
      </c>
      <c r="J78" s="5" t="s">
        <v>481</v>
      </c>
      <c r="K78" s="6" t="s">
        <v>79</v>
      </c>
      <c r="L78" s="6" t="s">
        <v>42</v>
      </c>
      <c r="M78" s="6" t="s">
        <v>43</v>
      </c>
      <c r="N78" s="7">
        <v>44235</v>
      </c>
      <c r="O78" s="7">
        <v>44228</v>
      </c>
      <c r="P78" s="7">
        <v>44592</v>
      </c>
      <c r="Q78" s="8">
        <v>40</v>
      </c>
      <c r="R78" s="8">
        <v>163</v>
      </c>
      <c r="S78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8" s="12" t="str">
        <f t="shared" si="1"/>
        <v>VALUES('08801210','HELIX PHARMA (PVT) LIMITED','Salaam@123','Y','N',sysdate,'016', 'C', 'Client', 'tanweer.ahmad@hakimsonsgroup.com','01','B', '08', 'ABDUL', sysdate, '10.6.100.63', '08801210');</v>
      </c>
      <c r="U78" s="12" t="str">
        <f t="shared" si="2"/>
        <v>INSERT INTO sy_user_branches (USER_CD, BRANCH_CODE, CLASS_CODE, ENT_BY, ENT_DATE, ENT_BY_IP)</v>
      </c>
      <c r="V78" s="12" t="str">
        <f t="shared" si="3"/>
        <v>values('08801210','01', '08', 'ABDUL', sysdate, '10.6.100.63');</v>
      </c>
      <c r="W78" s="12" t="str">
        <f t="shared" si="4"/>
        <v>INSERT INTO sy_perm_list (USER_CD, OPT_CD, ACCESS_TYPE, BRANCH_CODE, CLASS_CODE, ENT_BY, ENT_DATE, ENT_BY_IP)</v>
      </c>
      <c r="X78" s="12" t="str">
        <f t="shared" si="5"/>
        <v>VALUES('08801210','ClaimComments.aspx', 'USER', '01', '08', 'ABDUL', SYSDATE, '10.6.100.63');</v>
      </c>
      <c r="Y78" s="12" t="str">
        <f t="shared" si="6"/>
        <v>INSERT INTO sy_perm_list (USER_CD, OPT_CD, ACCESS_TYPE, BRANCH_CODE, CLASS_CODE, ENT_BY, ENT_DATE, ENT_BY_IP)</v>
      </c>
      <c r="Z78" s="12" t="str">
        <f t="shared" si="7"/>
        <v>VALUES('08801210','ClaimDocs.aspx', 'USER', '01', '08', 'ABDUL', SYSDATE, '10.6.100.63');</v>
      </c>
      <c r="AA78" s="12" t="str">
        <f t="shared" si="8"/>
        <v>INSERT INTO sy_perm_list (USER_CD, OPT_CD, ACCESS_TYPE, BRANCH_CODE, CLASS_CODE, ENT_BY, ENT_DATE, ENT_BY_IP)</v>
      </c>
      <c r="AB78" s="12" t="str">
        <f t="shared" si="9"/>
        <v>VALUES('08801210','Client.aspx', 'USER', '01', '08', 'ABDUL', SYSDATE, '10.6.100.63');</v>
      </c>
      <c r="AC78" s="12" t="str">
        <f t="shared" si="10"/>
        <v>INSERT INTO sy_perm_list (USER_CD, OPT_CD, ACCESS_TYPE, BRANCH_CODE, CLASS_CODE, ENT_BY, ENT_DATE, ENT_BY_IP)</v>
      </c>
      <c r="AD78" s="12" t="str">
        <f t="shared" si="11"/>
        <v>VALUES('08801210','ClientReports.aspx', 'USER', '01', '08', 'ABDUL', SYSDATE, '10.6.100.63');</v>
      </c>
      <c r="AE78" s="12" t="str">
        <f t="shared" si="12"/>
        <v>INSERT INTO sy_perm_list (USER_CD, OPT_CD, ACCESS_TYPE, BRANCH_CODE, CLASS_CODE, ENT_BY, ENT_DATE, ENT_BY_IP)</v>
      </c>
      <c r="AF78" s="12" t="str">
        <f t="shared" si="13"/>
        <v>VALUES('08801210','ClientRequests.aspx', 'USER', '01', '08', 'ABDUL', SYSDATE, '10.6.100.63');</v>
      </c>
      <c r="AG78" s="12" t="str">
        <f t="shared" si="14"/>
        <v>INSERT INTO sy_perm_list (USER_CD, OPT_CD, ACCESS_TYPE, BRANCH_CODE, CLASS_CODE, ENT_BY, ENT_DATE, ENT_BY_IP)</v>
      </c>
      <c r="AH78" s="12" t="str">
        <f t="shared" si="15"/>
        <v>VALUES('08801210','HealthLife.aspx', 'USER', '01', '08', 'ABDUL', SYSDATE, '10.6.100.63');</v>
      </c>
      <c r="AI78" s="12" t="str">
        <f t="shared" si="16"/>
        <v>INSERT INTO sy_perm_list (USER_CD, OPT_CD, ACCESS_TYPE, BRANCH_CODE, CLASS_CODE, ENT_BY, ENT_DATE, ENT_BY_IP)</v>
      </c>
      <c r="AJ78" s="12" t="str">
        <f t="shared" si="17"/>
        <v>VALUES('08801210','IpdClaim.aspx', 'USER', '01', '08', 'ABDUL', SYSDATE, '10.6.100.63');</v>
      </c>
      <c r="AK78" s="12" t="str">
        <f t="shared" si="18"/>
        <v>INSERT INTO sy_perm_list (USER_CD, OPT_CD, ACCESS_TYPE, BRANCH_CODE, CLASS_CODE, ENT_BY, ENT_DATE, ENT_BY_IP)</v>
      </c>
      <c r="AL78" s="12" t="str">
        <f t="shared" si="19"/>
        <v>VALUES('08801210','OpdClaim.aspx', 'USER', '01', '08', 'ABDUL', SYSDATE, '10.6.100.63');</v>
      </c>
      <c r="AM78" s="12" t="str">
        <f t="shared" si="20"/>
        <v>INSERT INTO sy_perm_list (USER_CD, OPT_CD, ACCESS_TYPE, BRANCH_CODE, CLASS_CODE, ENT_BY, ENT_DATE, ENT_BY_IP)</v>
      </c>
      <c r="AN78" s="12" t="str">
        <f t="shared" si="21"/>
        <v>VALUES('08801210','RequestDetails.aspx', 'USER', '01', '08', 'ABDUL', SYSDATE, '10.6.100.63');</v>
      </c>
      <c r="AO78" s="12" t="str">
        <f t="shared" si="22"/>
        <v>INSERT INTO sy_perm_list (USER_CD, OPT_CD, ACCESS_TYPE, BRANCH_CODE, CLASS_CODE, ENT_BY, ENT_DATE, ENT_BY_IP)</v>
      </c>
      <c r="AP78" s="12" t="str">
        <f t="shared" si="23"/>
        <v>VALUES('08801210','TodaysRequest.aspx', 'USER', '01', '08', 'ABDUL', SYSDATE, '10.6.100.63');</v>
      </c>
    </row>
    <row r="79" spans="1:42" s="6" customFormat="1" ht="76.5" x14ac:dyDescent="0.2">
      <c r="A79" s="4">
        <v>65</v>
      </c>
      <c r="B79" s="5" t="s">
        <v>716</v>
      </c>
      <c r="C79" s="5">
        <v>9000278</v>
      </c>
      <c r="D79" s="6" t="s">
        <v>451</v>
      </c>
      <c r="E79" s="6" t="s">
        <v>314</v>
      </c>
      <c r="F79" s="5" t="s">
        <v>287</v>
      </c>
      <c r="G79" s="6" t="s">
        <v>288</v>
      </c>
      <c r="H79" s="5" t="s">
        <v>649</v>
      </c>
      <c r="I79" s="5">
        <v>801</v>
      </c>
      <c r="J79" s="5" t="s">
        <v>526</v>
      </c>
      <c r="K79" s="6" t="s">
        <v>527</v>
      </c>
      <c r="L79" s="6" t="s">
        <v>132</v>
      </c>
      <c r="M79" s="6" t="s">
        <v>131</v>
      </c>
      <c r="N79" s="7">
        <v>44258</v>
      </c>
      <c r="O79" s="7">
        <v>44159</v>
      </c>
      <c r="P79" s="7">
        <v>44523</v>
      </c>
      <c r="Q79" s="8">
        <v>441</v>
      </c>
      <c r="R79" s="8">
        <v>1419</v>
      </c>
      <c r="S79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79" s="12" t="str">
        <f t="shared" si="1"/>
        <v>VALUES('08801014','HERBION PAKISTAN (PVT) LIMITED','Salaam@123','Y','N',sysdate,'016', 'C', 'Client', 'sobana.baree@sib.com.pk','01','B', '08', 'ABDUL', sysdate, '10.6.100.63', '08801014');</v>
      </c>
      <c r="U79" s="12" t="str">
        <f t="shared" si="2"/>
        <v>INSERT INTO sy_user_branches (USER_CD, BRANCH_CODE, CLASS_CODE, ENT_BY, ENT_DATE, ENT_BY_IP)</v>
      </c>
      <c r="V79" s="12" t="str">
        <f t="shared" si="3"/>
        <v>values('08801014','01', '08', 'ABDUL', sysdate, '10.6.100.63');</v>
      </c>
      <c r="W79" s="12" t="str">
        <f t="shared" si="4"/>
        <v>INSERT INTO sy_perm_list (USER_CD, OPT_CD, ACCESS_TYPE, BRANCH_CODE, CLASS_CODE, ENT_BY, ENT_DATE, ENT_BY_IP)</v>
      </c>
      <c r="X79" s="12" t="str">
        <f t="shared" si="5"/>
        <v>VALUES('08801014','ClaimComments.aspx', 'USER', '01', '08', 'ABDUL', SYSDATE, '10.6.100.63');</v>
      </c>
      <c r="Y79" s="12" t="str">
        <f t="shared" si="6"/>
        <v>INSERT INTO sy_perm_list (USER_CD, OPT_CD, ACCESS_TYPE, BRANCH_CODE, CLASS_CODE, ENT_BY, ENT_DATE, ENT_BY_IP)</v>
      </c>
      <c r="Z79" s="12" t="str">
        <f t="shared" si="7"/>
        <v>VALUES('08801014','ClaimDocs.aspx', 'USER', '01', '08', 'ABDUL', SYSDATE, '10.6.100.63');</v>
      </c>
      <c r="AA79" s="12" t="str">
        <f t="shared" si="8"/>
        <v>INSERT INTO sy_perm_list (USER_CD, OPT_CD, ACCESS_TYPE, BRANCH_CODE, CLASS_CODE, ENT_BY, ENT_DATE, ENT_BY_IP)</v>
      </c>
      <c r="AB79" s="12" t="str">
        <f t="shared" si="9"/>
        <v>VALUES('08801014','Client.aspx', 'USER', '01', '08', 'ABDUL', SYSDATE, '10.6.100.63');</v>
      </c>
      <c r="AC79" s="12" t="str">
        <f t="shared" si="10"/>
        <v>INSERT INTO sy_perm_list (USER_CD, OPT_CD, ACCESS_TYPE, BRANCH_CODE, CLASS_CODE, ENT_BY, ENT_DATE, ENT_BY_IP)</v>
      </c>
      <c r="AD79" s="12" t="str">
        <f t="shared" si="11"/>
        <v>VALUES('08801014','ClientReports.aspx', 'USER', '01', '08', 'ABDUL', SYSDATE, '10.6.100.63');</v>
      </c>
      <c r="AE79" s="12" t="str">
        <f t="shared" si="12"/>
        <v>INSERT INTO sy_perm_list (USER_CD, OPT_CD, ACCESS_TYPE, BRANCH_CODE, CLASS_CODE, ENT_BY, ENT_DATE, ENT_BY_IP)</v>
      </c>
      <c r="AF79" s="12" t="str">
        <f t="shared" si="13"/>
        <v>VALUES('08801014','ClientRequests.aspx', 'USER', '01', '08', 'ABDUL', SYSDATE, '10.6.100.63');</v>
      </c>
      <c r="AG79" s="12" t="str">
        <f t="shared" si="14"/>
        <v>INSERT INTO sy_perm_list (USER_CD, OPT_CD, ACCESS_TYPE, BRANCH_CODE, CLASS_CODE, ENT_BY, ENT_DATE, ENT_BY_IP)</v>
      </c>
      <c r="AH79" s="12" t="str">
        <f t="shared" si="15"/>
        <v>VALUES('08801014','HealthLife.aspx', 'USER', '01', '08', 'ABDUL', SYSDATE, '10.6.100.63');</v>
      </c>
      <c r="AI79" s="12" t="str">
        <f t="shared" si="16"/>
        <v>INSERT INTO sy_perm_list (USER_CD, OPT_CD, ACCESS_TYPE, BRANCH_CODE, CLASS_CODE, ENT_BY, ENT_DATE, ENT_BY_IP)</v>
      </c>
      <c r="AJ79" s="12" t="str">
        <f t="shared" si="17"/>
        <v>VALUES('08801014','IpdClaim.aspx', 'USER', '01', '08', 'ABDUL', SYSDATE, '10.6.100.63');</v>
      </c>
      <c r="AK79" s="12" t="str">
        <f t="shared" si="18"/>
        <v>INSERT INTO sy_perm_list (USER_CD, OPT_CD, ACCESS_TYPE, BRANCH_CODE, CLASS_CODE, ENT_BY, ENT_DATE, ENT_BY_IP)</v>
      </c>
      <c r="AL79" s="12" t="str">
        <f t="shared" si="19"/>
        <v>VALUES('08801014','OpdClaim.aspx', 'USER', '01', '08', 'ABDUL', SYSDATE, '10.6.100.63');</v>
      </c>
      <c r="AM79" s="12" t="str">
        <f t="shared" si="20"/>
        <v>INSERT INTO sy_perm_list (USER_CD, OPT_CD, ACCESS_TYPE, BRANCH_CODE, CLASS_CODE, ENT_BY, ENT_DATE, ENT_BY_IP)</v>
      </c>
      <c r="AN79" s="12" t="str">
        <f t="shared" si="21"/>
        <v>VALUES('08801014','RequestDetails.aspx', 'USER', '01', '08', 'ABDUL', SYSDATE, '10.6.100.63');</v>
      </c>
      <c r="AO79" s="12" t="str">
        <f t="shared" si="22"/>
        <v>INSERT INTO sy_perm_list (USER_CD, OPT_CD, ACCESS_TYPE, BRANCH_CODE, CLASS_CODE, ENT_BY, ENT_DATE, ENT_BY_IP)</v>
      </c>
      <c r="AP79" s="12" t="str">
        <f t="shared" si="23"/>
        <v>VALUES('08801014','TodaysRequest.aspx', 'USER', '01', '08', 'ABDUL', SYSDATE, '10.6.100.63');</v>
      </c>
    </row>
    <row r="80" spans="1:42" s="6" customFormat="1" ht="76.5" x14ac:dyDescent="0.2">
      <c r="A80" s="4">
        <v>66</v>
      </c>
      <c r="B80" s="5" t="s">
        <v>717</v>
      </c>
      <c r="C80" s="5">
        <v>9000250</v>
      </c>
      <c r="D80" s="6" t="s">
        <v>333</v>
      </c>
      <c r="E80" s="6" t="s">
        <v>290</v>
      </c>
      <c r="F80" s="5" t="s">
        <v>287</v>
      </c>
      <c r="G80" s="6" t="s">
        <v>288</v>
      </c>
      <c r="H80" s="5" t="s">
        <v>650</v>
      </c>
      <c r="I80" s="5">
        <v>727</v>
      </c>
      <c r="J80" s="5" t="s">
        <v>439</v>
      </c>
      <c r="K80" s="6" t="s">
        <v>440</v>
      </c>
      <c r="L80" s="6" t="s">
        <v>590</v>
      </c>
      <c r="M80" s="6" t="s">
        <v>591</v>
      </c>
      <c r="N80" s="7">
        <v>44201</v>
      </c>
      <c r="O80" s="7">
        <v>44197</v>
      </c>
      <c r="P80" s="7">
        <v>44561</v>
      </c>
      <c r="Q80" s="8">
        <v>99</v>
      </c>
      <c r="R80" s="8">
        <v>377</v>
      </c>
      <c r="S80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0" s="12" t="str">
        <f t="shared" si="1"/>
        <v>VALUES('08801135','HITEC UNIVERSITY (HIT-EWT)','Salaam@123','Y','N',sysdate,'016', 'C', 'Client', 'treasurer@hitecuniversity.pk','01','B', '08', 'ABDUL', sysdate, '10.6.100.63', '08801135');</v>
      </c>
      <c r="U80" s="12" t="str">
        <f t="shared" si="2"/>
        <v>INSERT INTO sy_user_branches (USER_CD, BRANCH_CODE, CLASS_CODE, ENT_BY, ENT_DATE, ENT_BY_IP)</v>
      </c>
      <c r="V80" s="12" t="str">
        <f t="shared" si="3"/>
        <v>values('08801135','01', '08', 'ABDUL', sysdate, '10.6.100.63');</v>
      </c>
      <c r="W80" s="12" t="str">
        <f t="shared" si="4"/>
        <v>INSERT INTO sy_perm_list (USER_CD, OPT_CD, ACCESS_TYPE, BRANCH_CODE, CLASS_CODE, ENT_BY, ENT_DATE, ENT_BY_IP)</v>
      </c>
      <c r="X80" s="12" t="str">
        <f t="shared" si="5"/>
        <v>VALUES('08801135','ClaimComments.aspx', 'USER', '01', '08', 'ABDUL', SYSDATE, '10.6.100.63');</v>
      </c>
      <c r="Y80" s="12" t="str">
        <f t="shared" si="6"/>
        <v>INSERT INTO sy_perm_list (USER_CD, OPT_CD, ACCESS_TYPE, BRANCH_CODE, CLASS_CODE, ENT_BY, ENT_DATE, ENT_BY_IP)</v>
      </c>
      <c r="Z80" s="12" t="str">
        <f t="shared" si="7"/>
        <v>VALUES('08801135','ClaimDocs.aspx', 'USER', '01', '08', 'ABDUL', SYSDATE, '10.6.100.63');</v>
      </c>
      <c r="AA80" s="12" t="str">
        <f t="shared" si="8"/>
        <v>INSERT INTO sy_perm_list (USER_CD, OPT_CD, ACCESS_TYPE, BRANCH_CODE, CLASS_CODE, ENT_BY, ENT_DATE, ENT_BY_IP)</v>
      </c>
      <c r="AB80" s="12" t="str">
        <f t="shared" si="9"/>
        <v>VALUES('08801135','Client.aspx', 'USER', '01', '08', 'ABDUL', SYSDATE, '10.6.100.63');</v>
      </c>
      <c r="AC80" s="12" t="str">
        <f t="shared" si="10"/>
        <v>INSERT INTO sy_perm_list (USER_CD, OPT_CD, ACCESS_TYPE, BRANCH_CODE, CLASS_CODE, ENT_BY, ENT_DATE, ENT_BY_IP)</v>
      </c>
      <c r="AD80" s="12" t="str">
        <f t="shared" si="11"/>
        <v>VALUES('08801135','ClientReports.aspx', 'USER', '01', '08', 'ABDUL', SYSDATE, '10.6.100.63');</v>
      </c>
      <c r="AE80" s="12" t="str">
        <f t="shared" si="12"/>
        <v>INSERT INTO sy_perm_list (USER_CD, OPT_CD, ACCESS_TYPE, BRANCH_CODE, CLASS_CODE, ENT_BY, ENT_DATE, ENT_BY_IP)</v>
      </c>
      <c r="AF80" s="12" t="str">
        <f t="shared" si="13"/>
        <v>VALUES('08801135','ClientRequests.aspx', 'USER', '01', '08', 'ABDUL', SYSDATE, '10.6.100.63');</v>
      </c>
      <c r="AG80" s="12" t="str">
        <f t="shared" si="14"/>
        <v>INSERT INTO sy_perm_list (USER_CD, OPT_CD, ACCESS_TYPE, BRANCH_CODE, CLASS_CODE, ENT_BY, ENT_DATE, ENT_BY_IP)</v>
      </c>
      <c r="AH80" s="12" t="str">
        <f t="shared" si="15"/>
        <v>VALUES('08801135','HealthLife.aspx', 'USER', '01', '08', 'ABDUL', SYSDATE, '10.6.100.63');</v>
      </c>
      <c r="AI80" s="12" t="str">
        <f t="shared" si="16"/>
        <v>INSERT INTO sy_perm_list (USER_CD, OPT_CD, ACCESS_TYPE, BRANCH_CODE, CLASS_CODE, ENT_BY, ENT_DATE, ENT_BY_IP)</v>
      </c>
      <c r="AJ80" s="12" t="str">
        <f t="shared" si="17"/>
        <v>VALUES('08801135','IpdClaim.aspx', 'USER', '01', '08', 'ABDUL', SYSDATE, '10.6.100.63');</v>
      </c>
      <c r="AK80" s="12" t="str">
        <f t="shared" si="18"/>
        <v>INSERT INTO sy_perm_list (USER_CD, OPT_CD, ACCESS_TYPE, BRANCH_CODE, CLASS_CODE, ENT_BY, ENT_DATE, ENT_BY_IP)</v>
      </c>
      <c r="AL80" s="12" t="str">
        <f t="shared" si="19"/>
        <v>VALUES('08801135','OpdClaim.aspx', 'USER', '01', '08', 'ABDUL', SYSDATE, '10.6.100.63');</v>
      </c>
      <c r="AM80" s="12" t="str">
        <f t="shared" si="20"/>
        <v>INSERT INTO sy_perm_list (USER_CD, OPT_CD, ACCESS_TYPE, BRANCH_CODE, CLASS_CODE, ENT_BY, ENT_DATE, ENT_BY_IP)</v>
      </c>
      <c r="AN80" s="12" t="str">
        <f t="shared" si="21"/>
        <v>VALUES('08801135','RequestDetails.aspx', 'USER', '01', '08', 'ABDUL', SYSDATE, '10.6.100.63');</v>
      </c>
      <c r="AO80" s="12" t="str">
        <f t="shared" si="22"/>
        <v>INSERT INTO sy_perm_list (USER_CD, OPT_CD, ACCESS_TYPE, BRANCH_CODE, CLASS_CODE, ENT_BY, ENT_DATE, ENT_BY_IP)</v>
      </c>
      <c r="AP80" s="12" t="str">
        <f t="shared" si="23"/>
        <v>VALUES('08801135','TodaysRequest.aspx', 'USER', '01', '08', 'ABDUL', SYSDATE, '10.6.100.63');</v>
      </c>
    </row>
    <row r="81" spans="1:42" s="6" customFormat="1" ht="76.5" x14ac:dyDescent="0.2">
      <c r="A81" s="4">
        <v>67</v>
      </c>
      <c r="B81" s="5" t="s">
        <v>718</v>
      </c>
      <c r="C81" s="5">
        <v>9000230</v>
      </c>
      <c r="D81" s="6" t="s">
        <v>494</v>
      </c>
      <c r="E81" s="6" t="s">
        <v>299</v>
      </c>
      <c r="F81" s="5" t="s">
        <v>287</v>
      </c>
      <c r="G81" s="6" t="s">
        <v>288</v>
      </c>
      <c r="H81" s="5" t="s">
        <v>649</v>
      </c>
      <c r="I81" s="5">
        <v>802</v>
      </c>
      <c r="J81" s="5" t="s">
        <v>532</v>
      </c>
      <c r="K81" s="6" t="s">
        <v>533</v>
      </c>
      <c r="L81" s="6" t="s">
        <v>186</v>
      </c>
      <c r="M81" s="6" t="s">
        <v>187</v>
      </c>
      <c r="N81" s="7">
        <v>44259</v>
      </c>
      <c r="O81" s="7">
        <v>44228</v>
      </c>
      <c r="P81" s="7">
        <v>44592</v>
      </c>
      <c r="Q81" s="8">
        <v>68</v>
      </c>
      <c r="R81" s="8">
        <v>209</v>
      </c>
      <c r="S81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1" s="12" t="str">
        <f t="shared" si="1"/>
        <v>VALUES('08800808','HONDA PORT QASIM (PRIVATE) LIMITED','Salaam@123','Y','N',sysdate,'016', 'C', 'Client', 'soulaha@hondaportqasim.com ','01','B', '08', 'ABDUL', sysdate, '10.6.100.63', '08800808');</v>
      </c>
      <c r="U81" s="12" t="str">
        <f t="shared" si="2"/>
        <v>INSERT INTO sy_user_branches (USER_CD, BRANCH_CODE, CLASS_CODE, ENT_BY, ENT_DATE, ENT_BY_IP)</v>
      </c>
      <c r="V81" s="12" t="str">
        <f t="shared" si="3"/>
        <v>values('08800808','01', '08', 'ABDUL', sysdate, '10.6.100.63');</v>
      </c>
      <c r="W81" s="12" t="str">
        <f t="shared" si="4"/>
        <v>INSERT INTO sy_perm_list (USER_CD, OPT_CD, ACCESS_TYPE, BRANCH_CODE, CLASS_CODE, ENT_BY, ENT_DATE, ENT_BY_IP)</v>
      </c>
      <c r="X81" s="12" t="str">
        <f t="shared" si="5"/>
        <v>VALUES('08800808','ClaimComments.aspx', 'USER', '01', '08', 'ABDUL', SYSDATE, '10.6.100.63');</v>
      </c>
      <c r="Y81" s="12" t="str">
        <f t="shared" si="6"/>
        <v>INSERT INTO sy_perm_list (USER_CD, OPT_CD, ACCESS_TYPE, BRANCH_CODE, CLASS_CODE, ENT_BY, ENT_DATE, ENT_BY_IP)</v>
      </c>
      <c r="Z81" s="12" t="str">
        <f t="shared" si="7"/>
        <v>VALUES('08800808','ClaimDocs.aspx', 'USER', '01', '08', 'ABDUL', SYSDATE, '10.6.100.63');</v>
      </c>
      <c r="AA81" s="12" t="str">
        <f t="shared" si="8"/>
        <v>INSERT INTO sy_perm_list (USER_CD, OPT_CD, ACCESS_TYPE, BRANCH_CODE, CLASS_CODE, ENT_BY, ENT_DATE, ENT_BY_IP)</v>
      </c>
      <c r="AB81" s="12" t="str">
        <f t="shared" si="9"/>
        <v>VALUES('08800808','Client.aspx', 'USER', '01', '08', 'ABDUL', SYSDATE, '10.6.100.63');</v>
      </c>
      <c r="AC81" s="12" t="str">
        <f t="shared" si="10"/>
        <v>INSERT INTO sy_perm_list (USER_CD, OPT_CD, ACCESS_TYPE, BRANCH_CODE, CLASS_CODE, ENT_BY, ENT_DATE, ENT_BY_IP)</v>
      </c>
      <c r="AD81" s="12" t="str">
        <f t="shared" si="11"/>
        <v>VALUES('08800808','ClientReports.aspx', 'USER', '01', '08', 'ABDUL', SYSDATE, '10.6.100.63');</v>
      </c>
      <c r="AE81" s="12" t="str">
        <f t="shared" si="12"/>
        <v>INSERT INTO sy_perm_list (USER_CD, OPT_CD, ACCESS_TYPE, BRANCH_CODE, CLASS_CODE, ENT_BY, ENT_DATE, ENT_BY_IP)</v>
      </c>
      <c r="AF81" s="12" t="str">
        <f t="shared" si="13"/>
        <v>VALUES('08800808','ClientRequests.aspx', 'USER', '01', '08', 'ABDUL', SYSDATE, '10.6.100.63');</v>
      </c>
      <c r="AG81" s="12" t="str">
        <f t="shared" si="14"/>
        <v>INSERT INTO sy_perm_list (USER_CD, OPT_CD, ACCESS_TYPE, BRANCH_CODE, CLASS_CODE, ENT_BY, ENT_DATE, ENT_BY_IP)</v>
      </c>
      <c r="AH81" s="12" t="str">
        <f t="shared" si="15"/>
        <v>VALUES('08800808','HealthLife.aspx', 'USER', '01', '08', 'ABDUL', SYSDATE, '10.6.100.63');</v>
      </c>
      <c r="AI81" s="12" t="str">
        <f t="shared" si="16"/>
        <v>INSERT INTO sy_perm_list (USER_CD, OPT_CD, ACCESS_TYPE, BRANCH_CODE, CLASS_CODE, ENT_BY, ENT_DATE, ENT_BY_IP)</v>
      </c>
      <c r="AJ81" s="12" t="str">
        <f t="shared" si="17"/>
        <v>VALUES('08800808','IpdClaim.aspx', 'USER', '01', '08', 'ABDUL', SYSDATE, '10.6.100.63');</v>
      </c>
      <c r="AK81" s="12" t="str">
        <f t="shared" si="18"/>
        <v>INSERT INTO sy_perm_list (USER_CD, OPT_CD, ACCESS_TYPE, BRANCH_CODE, CLASS_CODE, ENT_BY, ENT_DATE, ENT_BY_IP)</v>
      </c>
      <c r="AL81" s="12" t="str">
        <f t="shared" si="19"/>
        <v>VALUES('08800808','OpdClaim.aspx', 'USER', '01', '08', 'ABDUL', SYSDATE, '10.6.100.63');</v>
      </c>
      <c r="AM81" s="12" t="str">
        <f t="shared" si="20"/>
        <v>INSERT INTO sy_perm_list (USER_CD, OPT_CD, ACCESS_TYPE, BRANCH_CODE, CLASS_CODE, ENT_BY, ENT_DATE, ENT_BY_IP)</v>
      </c>
      <c r="AN81" s="12" t="str">
        <f t="shared" si="21"/>
        <v>VALUES('08800808','RequestDetails.aspx', 'USER', '01', '08', 'ABDUL', SYSDATE, '10.6.100.63');</v>
      </c>
      <c r="AO81" s="12" t="str">
        <f t="shared" si="22"/>
        <v>INSERT INTO sy_perm_list (USER_CD, OPT_CD, ACCESS_TYPE, BRANCH_CODE, CLASS_CODE, ENT_BY, ENT_DATE, ENT_BY_IP)</v>
      </c>
      <c r="AP81" s="12" t="str">
        <f t="shared" si="23"/>
        <v>VALUES('08800808','TodaysRequest.aspx', 'USER', '01', '08', 'ABDUL', SYSDATE, '10.6.100.63');</v>
      </c>
    </row>
    <row r="82" spans="1:42" s="6" customFormat="1" ht="76.5" x14ac:dyDescent="0.2">
      <c r="A82" s="4">
        <v>68</v>
      </c>
      <c r="B82" s="5" t="s">
        <v>719</v>
      </c>
      <c r="C82" s="5">
        <v>9000138</v>
      </c>
      <c r="D82" s="6" t="s">
        <v>390</v>
      </c>
      <c r="E82" s="6" t="s">
        <v>299</v>
      </c>
      <c r="F82" s="5" t="s">
        <v>287</v>
      </c>
      <c r="G82" s="6" t="s">
        <v>288</v>
      </c>
      <c r="H82" s="5" t="s">
        <v>650</v>
      </c>
      <c r="I82" s="5">
        <v>704</v>
      </c>
      <c r="J82" s="5" t="s">
        <v>415</v>
      </c>
      <c r="K82" s="6" t="s">
        <v>416</v>
      </c>
      <c r="L82" s="6" t="s">
        <v>592</v>
      </c>
      <c r="M82" s="6" t="s">
        <v>647</v>
      </c>
      <c r="N82" s="7">
        <v>44194</v>
      </c>
      <c r="O82" s="7">
        <v>44196</v>
      </c>
      <c r="P82" s="7">
        <v>44561</v>
      </c>
      <c r="Q82" s="8">
        <v>17</v>
      </c>
      <c r="R82" s="8">
        <v>85</v>
      </c>
      <c r="S82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2" s="12" t="str">
        <f t="shared" si="1"/>
        <v>VALUES('08004994','HONDA TOWNSHIP (PRIVATE) LIMITED','Salaam@123','Y','N',sysdate,'016', 'C', 'Client', 'finance@hondatownship.com.pk','01','B', '08', 'ABDUL', sysdate, '10.6.100.63', '08004994');</v>
      </c>
      <c r="U82" s="12" t="str">
        <f t="shared" si="2"/>
        <v>INSERT INTO sy_user_branches (USER_CD, BRANCH_CODE, CLASS_CODE, ENT_BY, ENT_DATE, ENT_BY_IP)</v>
      </c>
      <c r="V82" s="12" t="str">
        <f t="shared" si="3"/>
        <v>values('08004994','01', '08', 'ABDUL', sysdate, '10.6.100.63');</v>
      </c>
      <c r="W82" s="12" t="str">
        <f t="shared" si="4"/>
        <v>INSERT INTO sy_perm_list (USER_CD, OPT_CD, ACCESS_TYPE, BRANCH_CODE, CLASS_CODE, ENT_BY, ENT_DATE, ENT_BY_IP)</v>
      </c>
      <c r="X82" s="12" t="str">
        <f t="shared" si="5"/>
        <v>VALUES('08004994','ClaimComments.aspx', 'USER', '01', '08', 'ABDUL', SYSDATE, '10.6.100.63');</v>
      </c>
      <c r="Y82" s="12" t="str">
        <f t="shared" si="6"/>
        <v>INSERT INTO sy_perm_list (USER_CD, OPT_CD, ACCESS_TYPE, BRANCH_CODE, CLASS_CODE, ENT_BY, ENT_DATE, ENT_BY_IP)</v>
      </c>
      <c r="Z82" s="12" t="str">
        <f t="shared" si="7"/>
        <v>VALUES('08004994','ClaimDocs.aspx', 'USER', '01', '08', 'ABDUL', SYSDATE, '10.6.100.63');</v>
      </c>
      <c r="AA82" s="12" t="str">
        <f t="shared" si="8"/>
        <v>INSERT INTO sy_perm_list (USER_CD, OPT_CD, ACCESS_TYPE, BRANCH_CODE, CLASS_CODE, ENT_BY, ENT_DATE, ENT_BY_IP)</v>
      </c>
      <c r="AB82" s="12" t="str">
        <f t="shared" si="9"/>
        <v>VALUES('08004994','Client.aspx', 'USER', '01', '08', 'ABDUL', SYSDATE, '10.6.100.63');</v>
      </c>
      <c r="AC82" s="12" t="str">
        <f t="shared" si="10"/>
        <v>INSERT INTO sy_perm_list (USER_CD, OPT_CD, ACCESS_TYPE, BRANCH_CODE, CLASS_CODE, ENT_BY, ENT_DATE, ENT_BY_IP)</v>
      </c>
      <c r="AD82" s="12" t="str">
        <f t="shared" si="11"/>
        <v>VALUES('08004994','ClientReports.aspx', 'USER', '01', '08', 'ABDUL', SYSDATE, '10.6.100.63');</v>
      </c>
      <c r="AE82" s="12" t="str">
        <f t="shared" si="12"/>
        <v>INSERT INTO sy_perm_list (USER_CD, OPT_CD, ACCESS_TYPE, BRANCH_CODE, CLASS_CODE, ENT_BY, ENT_DATE, ENT_BY_IP)</v>
      </c>
      <c r="AF82" s="12" t="str">
        <f t="shared" si="13"/>
        <v>VALUES('08004994','ClientRequests.aspx', 'USER', '01', '08', 'ABDUL', SYSDATE, '10.6.100.63');</v>
      </c>
      <c r="AG82" s="12" t="str">
        <f t="shared" si="14"/>
        <v>INSERT INTO sy_perm_list (USER_CD, OPT_CD, ACCESS_TYPE, BRANCH_CODE, CLASS_CODE, ENT_BY, ENT_DATE, ENT_BY_IP)</v>
      </c>
      <c r="AH82" s="12" t="str">
        <f t="shared" si="15"/>
        <v>VALUES('08004994','HealthLife.aspx', 'USER', '01', '08', 'ABDUL', SYSDATE, '10.6.100.63');</v>
      </c>
      <c r="AI82" s="12" t="str">
        <f t="shared" si="16"/>
        <v>INSERT INTO sy_perm_list (USER_CD, OPT_CD, ACCESS_TYPE, BRANCH_CODE, CLASS_CODE, ENT_BY, ENT_DATE, ENT_BY_IP)</v>
      </c>
      <c r="AJ82" s="12" t="str">
        <f t="shared" si="17"/>
        <v>VALUES('08004994','IpdClaim.aspx', 'USER', '01', '08', 'ABDUL', SYSDATE, '10.6.100.63');</v>
      </c>
      <c r="AK82" s="12" t="str">
        <f t="shared" si="18"/>
        <v>INSERT INTO sy_perm_list (USER_CD, OPT_CD, ACCESS_TYPE, BRANCH_CODE, CLASS_CODE, ENT_BY, ENT_DATE, ENT_BY_IP)</v>
      </c>
      <c r="AL82" s="12" t="str">
        <f t="shared" si="19"/>
        <v>VALUES('08004994','OpdClaim.aspx', 'USER', '01', '08', 'ABDUL', SYSDATE, '10.6.100.63');</v>
      </c>
      <c r="AM82" s="12" t="str">
        <f t="shared" si="20"/>
        <v>INSERT INTO sy_perm_list (USER_CD, OPT_CD, ACCESS_TYPE, BRANCH_CODE, CLASS_CODE, ENT_BY, ENT_DATE, ENT_BY_IP)</v>
      </c>
      <c r="AN82" s="12" t="str">
        <f t="shared" si="21"/>
        <v>VALUES('08004994','RequestDetails.aspx', 'USER', '01', '08', 'ABDUL', SYSDATE, '10.6.100.63');</v>
      </c>
      <c r="AO82" s="12" t="str">
        <f t="shared" si="22"/>
        <v>INSERT INTO sy_perm_list (USER_CD, OPT_CD, ACCESS_TYPE, BRANCH_CODE, CLASS_CODE, ENT_BY, ENT_DATE, ENT_BY_IP)</v>
      </c>
      <c r="AP82" s="12" t="str">
        <f t="shared" si="23"/>
        <v>VALUES('08004994','TodaysRequest.aspx', 'USER', '01', '08', 'ABDUL', SYSDATE, '10.6.100.63');</v>
      </c>
    </row>
    <row r="83" spans="1:42" s="6" customFormat="1" ht="76.5" x14ac:dyDescent="0.2">
      <c r="A83" s="4">
        <v>69</v>
      </c>
      <c r="B83" s="5" t="s">
        <v>720</v>
      </c>
      <c r="C83" s="5">
        <v>9000221</v>
      </c>
      <c r="D83" s="6" t="s">
        <v>285</v>
      </c>
      <c r="E83" s="6" t="s">
        <v>286</v>
      </c>
      <c r="F83" s="5" t="s">
        <v>287</v>
      </c>
      <c r="G83" s="6" t="s">
        <v>288</v>
      </c>
      <c r="H83" s="5" t="s">
        <v>649</v>
      </c>
      <c r="I83" s="5">
        <v>816</v>
      </c>
      <c r="J83" s="5" t="s">
        <v>544</v>
      </c>
      <c r="K83" s="6" t="s">
        <v>545</v>
      </c>
      <c r="L83" s="6" t="s">
        <v>188</v>
      </c>
      <c r="M83" s="6" t="s">
        <v>189</v>
      </c>
      <c r="N83" s="7">
        <v>44272</v>
      </c>
      <c r="O83" s="7">
        <v>44228</v>
      </c>
      <c r="P83" s="7">
        <v>44592</v>
      </c>
      <c r="Q83" s="8">
        <v>306</v>
      </c>
      <c r="R83" s="8">
        <v>959</v>
      </c>
      <c r="S83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3" s="12" t="str">
        <f t="shared" si="1"/>
        <v>VALUES('08800552','HUM NETWORK LIMITED','Salaam@123','Y','N',sysdate,'016', 'C', 'Client', 'shoaib.ali@hum.tv ','01','B', '08', 'ABDUL', sysdate, '10.6.100.63', '08800552');</v>
      </c>
      <c r="U83" s="12" t="str">
        <f t="shared" si="2"/>
        <v>INSERT INTO sy_user_branches (USER_CD, BRANCH_CODE, CLASS_CODE, ENT_BY, ENT_DATE, ENT_BY_IP)</v>
      </c>
      <c r="V83" s="12" t="str">
        <f t="shared" si="3"/>
        <v>values('08800552','01', '08', 'ABDUL', sysdate, '10.6.100.63');</v>
      </c>
      <c r="W83" s="12" t="str">
        <f t="shared" si="4"/>
        <v>INSERT INTO sy_perm_list (USER_CD, OPT_CD, ACCESS_TYPE, BRANCH_CODE, CLASS_CODE, ENT_BY, ENT_DATE, ENT_BY_IP)</v>
      </c>
      <c r="X83" s="12" t="str">
        <f t="shared" si="5"/>
        <v>VALUES('08800552','ClaimComments.aspx', 'USER', '01', '08', 'ABDUL', SYSDATE, '10.6.100.63');</v>
      </c>
      <c r="Y83" s="12" t="str">
        <f t="shared" si="6"/>
        <v>INSERT INTO sy_perm_list (USER_CD, OPT_CD, ACCESS_TYPE, BRANCH_CODE, CLASS_CODE, ENT_BY, ENT_DATE, ENT_BY_IP)</v>
      </c>
      <c r="Z83" s="12" t="str">
        <f t="shared" si="7"/>
        <v>VALUES('08800552','ClaimDocs.aspx', 'USER', '01', '08', 'ABDUL', SYSDATE, '10.6.100.63');</v>
      </c>
      <c r="AA83" s="12" t="str">
        <f t="shared" si="8"/>
        <v>INSERT INTO sy_perm_list (USER_CD, OPT_CD, ACCESS_TYPE, BRANCH_CODE, CLASS_CODE, ENT_BY, ENT_DATE, ENT_BY_IP)</v>
      </c>
      <c r="AB83" s="12" t="str">
        <f t="shared" si="9"/>
        <v>VALUES('08800552','Client.aspx', 'USER', '01', '08', 'ABDUL', SYSDATE, '10.6.100.63');</v>
      </c>
      <c r="AC83" s="12" t="str">
        <f t="shared" si="10"/>
        <v>INSERT INTO sy_perm_list (USER_CD, OPT_CD, ACCESS_TYPE, BRANCH_CODE, CLASS_CODE, ENT_BY, ENT_DATE, ENT_BY_IP)</v>
      </c>
      <c r="AD83" s="12" t="str">
        <f t="shared" si="11"/>
        <v>VALUES('08800552','ClientReports.aspx', 'USER', '01', '08', 'ABDUL', SYSDATE, '10.6.100.63');</v>
      </c>
      <c r="AE83" s="12" t="str">
        <f t="shared" si="12"/>
        <v>INSERT INTO sy_perm_list (USER_CD, OPT_CD, ACCESS_TYPE, BRANCH_CODE, CLASS_CODE, ENT_BY, ENT_DATE, ENT_BY_IP)</v>
      </c>
      <c r="AF83" s="12" t="str">
        <f t="shared" si="13"/>
        <v>VALUES('08800552','ClientRequests.aspx', 'USER', '01', '08', 'ABDUL', SYSDATE, '10.6.100.63');</v>
      </c>
      <c r="AG83" s="12" t="str">
        <f t="shared" si="14"/>
        <v>INSERT INTO sy_perm_list (USER_CD, OPT_CD, ACCESS_TYPE, BRANCH_CODE, CLASS_CODE, ENT_BY, ENT_DATE, ENT_BY_IP)</v>
      </c>
      <c r="AH83" s="12" t="str">
        <f t="shared" si="15"/>
        <v>VALUES('08800552','HealthLife.aspx', 'USER', '01', '08', 'ABDUL', SYSDATE, '10.6.100.63');</v>
      </c>
      <c r="AI83" s="12" t="str">
        <f t="shared" si="16"/>
        <v>INSERT INTO sy_perm_list (USER_CD, OPT_CD, ACCESS_TYPE, BRANCH_CODE, CLASS_CODE, ENT_BY, ENT_DATE, ENT_BY_IP)</v>
      </c>
      <c r="AJ83" s="12" t="str">
        <f t="shared" si="17"/>
        <v>VALUES('08800552','IpdClaim.aspx', 'USER', '01', '08', 'ABDUL', SYSDATE, '10.6.100.63');</v>
      </c>
      <c r="AK83" s="12" t="str">
        <f t="shared" si="18"/>
        <v>INSERT INTO sy_perm_list (USER_CD, OPT_CD, ACCESS_TYPE, BRANCH_CODE, CLASS_CODE, ENT_BY, ENT_DATE, ENT_BY_IP)</v>
      </c>
      <c r="AL83" s="12" t="str">
        <f t="shared" si="19"/>
        <v>VALUES('08800552','OpdClaim.aspx', 'USER', '01', '08', 'ABDUL', SYSDATE, '10.6.100.63');</v>
      </c>
      <c r="AM83" s="12" t="str">
        <f t="shared" si="20"/>
        <v>INSERT INTO sy_perm_list (USER_CD, OPT_CD, ACCESS_TYPE, BRANCH_CODE, CLASS_CODE, ENT_BY, ENT_DATE, ENT_BY_IP)</v>
      </c>
      <c r="AN83" s="12" t="str">
        <f t="shared" si="21"/>
        <v>VALUES('08800552','RequestDetails.aspx', 'USER', '01', '08', 'ABDUL', SYSDATE, '10.6.100.63');</v>
      </c>
      <c r="AO83" s="12" t="str">
        <f t="shared" si="22"/>
        <v>INSERT INTO sy_perm_list (USER_CD, OPT_CD, ACCESS_TYPE, BRANCH_CODE, CLASS_CODE, ENT_BY, ENT_DATE, ENT_BY_IP)</v>
      </c>
      <c r="AP83" s="12" t="str">
        <f t="shared" si="23"/>
        <v>VALUES('08800552','TodaysRequest.aspx', 'USER', '01', '08', 'ABDUL', SYSDATE, '10.6.100.63');</v>
      </c>
    </row>
    <row r="84" spans="1:42" s="6" customFormat="1" ht="76.5" x14ac:dyDescent="0.2">
      <c r="A84" s="4">
        <v>70</v>
      </c>
      <c r="B84" s="5" t="s">
        <v>721</v>
      </c>
      <c r="C84" s="5">
        <v>9000221</v>
      </c>
      <c r="D84" s="6" t="s">
        <v>285</v>
      </c>
      <c r="E84" s="6" t="s">
        <v>286</v>
      </c>
      <c r="F84" s="5" t="s">
        <v>287</v>
      </c>
      <c r="G84" s="6" t="s">
        <v>288</v>
      </c>
      <c r="H84" s="5" t="s">
        <v>649</v>
      </c>
      <c r="I84" s="5">
        <v>815</v>
      </c>
      <c r="J84" s="5" t="s">
        <v>546</v>
      </c>
      <c r="K84" s="6" t="s">
        <v>547</v>
      </c>
      <c r="L84" s="6" t="s">
        <v>190</v>
      </c>
      <c r="M84" s="6" t="s">
        <v>191</v>
      </c>
      <c r="N84" s="7">
        <v>44272</v>
      </c>
      <c r="O84" s="7">
        <v>44256</v>
      </c>
      <c r="P84" s="7">
        <v>44620</v>
      </c>
      <c r="Q84" s="8">
        <v>382</v>
      </c>
      <c r="R84" s="8">
        <v>996</v>
      </c>
      <c r="S84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4" s="12" t="str">
        <f t="shared" si="1"/>
        <v>VALUES('08800576','HUM NEWS','Salaam@123','Y','N',sysdate,'016', 'C', 'Client', 'sidra.sardar@hum.tv ','01','B', '08', 'ABDUL', sysdate, '10.6.100.63', '08800576');</v>
      </c>
      <c r="U84" s="12" t="str">
        <f t="shared" si="2"/>
        <v>INSERT INTO sy_user_branches (USER_CD, BRANCH_CODE, CLASS_CODE, ENT_BY, ENT_DATE, ENT_BY_IP)</v>
      </c>
      <c r="V84" s="12" t="str">
        <f t="shared" si="3"/>
        <v>values('08800576','01', '08', 'ABDUL', sysdate, '10.6.100.63');</v>
      </c>
      <c r="W84" s="12" t="str">
        <f t="shared" si="4"/>
        <v>INSERT INTO sy_perm_list (USER_CD, OPT_CD, ACCESS_TYPE, BRANCH_CODE, CLASS_CODE, ENT_BY, ENT_DATE, ENT_BY_IP)</v>
      </c>
      <c r="X84" s="12" t="str">
        <f t="shared" si="5"/>
        <v>VALUES('08800576','ClaimComments.aspx', 'USER', '01', '08', 'ABDUL', SYSDATE, '10.6.100.63');</v>
      </c>
      <c r="Y84" s="12" t="str">
        <f t="shared" si="6"/>
        <v>INSERT INTO sy_perm_list (USER_CD, OPT_CD, ACCESS_TYPE, BRANCH_CODE, CLASS_CODE, ENT_BY, ENT_DATE, ENT_BY_IP)</v>
      </c>
      <c r="Z84" s="12" t="str">
        <f t="shared" si="7"/>
        <v>VALUES('08800576','ClaimDocs.aspx', 'USER', '01', '08', 'ABDUL', SYSDATE, '10.6.100.63');</v>
      </c>
      <c r="AA84" s="12" t="str">
        <f t="shared" si="8"/>
        <v>INSERT INTO sy_perm_list (USER_CD, OPT_CD, ACCESS_TYPE, BRANCH_CODE, CLASS_CODE, ENT_BY, ENT_DATE, ENT_BY_IP)</v>
      </c>
      <c r="AB84" s="12" t="str">
        <f t="shared" si="9"/>
        <v>VALUES('08800576','Client.aspx', 'USER', '01', '08', 'ABDUL', SYSDATE, '10.6.100.63');</v>
      </c>
      <c r="AC84" s="12" t="str">
        <f t="shared" si="10"/>
        <v>INSERT INTO sy_perm_list (USER_CD, OPT_CD, ACCESS_TYPE, BRANCH_CODE, CLASS_CODE, ENT_BY, ENT_DATE, ENT_BY_IP)</v>
      </c>
      <c r="AD84" s="12" t="str">
        <f t="shared" si="11"/>
        <v>VALUES('08800576','ClientReports.aspx', 'USER', '01', '08', 'ABDUL', SYSDATE, '10.6.100.63');</v>
      </c>
      <c r="AE84" s="12" t="str">
        <f t="shared" si="12"/>
        <v>INSERT INTO sy_perm_list (USER_CD, OPT_CD, ACCESS_TYPE, BRANCH_CODE, CLASS_CODE, ENT_BY, ENT_DATE, ENT_BY_IP)</v>
      </c>
      <c r="AF84" s="12" t="str">
        <f t="shared" si="13"/>
        <v>VALUES('08800576','ClientRequests.aspx', 'USER', '01', '08', 'ABDUL', SYSDATE, '10.6.100.63');</v>
      </c>
      <c r="AG84" s="12" t="str">
        <f t="shared" si="14"/>
        <v>INSERT INTO sy_perm_list (USER_CD, OPT_CD, ACCESS_TYPE, BRANCH_CODE, CLASS_CODE, ENT_BY, ENT_DATE, ENT_BY_IP)</v>
      </c>
      <c r="AH84" s="12" t="str">
        <f t="shared" si="15"/>
        <v>VALUES('08800576','HealthLife.aspx', 'USER', '01', '08', 'ABDUL', SYSDATE, '10.6.100.63');</v>
      </c>
      <c r="AI84" s="12" t="str">
        <f t="shared" si="16"/>
        <v>INSERT INTO sy_perm_list (USER_CD, OPT_CD, ACCESS_TYPE, BRANCH_CODE, CLASS_CODE, ENT_BY, ENT_DATE, ENT_BY_IP)</v>
      </c>
      <c r="AJ84" s="12" t="str">
        <f t="shared" si="17"/>
        <v>VALUES('08800576','IpdClaim.aspx', 'USER', '01', '08', 'ABDUL', SYSDATE, '10.6.100.63');</v>
      </c>
      <c r="AK84" s="12" t="str">
        <f t="shared" si="18"/>
        <v>INSERT INTO sy_perm_list (USER_CD, OPT_CD, ACCESS_TYPE, BRANCH_CODE, CLASS_CODE, ENT_BY, ENT_DATE, ENT_BY_IP)</v>
      </c>
      <c r="AL84" s="12" t="str">
        <f t="shared" si="19"/>
        <v>VALUES('08800576','OpdClaim.aspx', 'USER', '01', '08', 'ABDUL', SYSDATE, '10.6.100.63');</v>
      </c>
      <c r="AM84" s="12" t="str">
        <f t="shared" si="20"/>
        <v>INSERT INTO sy_perm_list (USER_CD, OPT_CD, ACCESS_TYPE, BRANCH_CODE, CLASS_CODE, ENT_BY, ENT_DATE, ENT_BY_IP)</v>
      </c>
      <c r="AN84" s="12" t="str">
        <f t="shared" si="21"/>
        <v>VALUES('08800576','RequestDetails.aspx', 'USER', '01', '08', 'ABDUL', SYSDATE, '10.6.100.63');</v>
      </c>
      <c r="AO84" s="12" t="str">
        <f t="shared" si="22"/>
        <v>INSERT INTO sy_perm_list (USER_CD, OPT_CD, ACCESS_TYPE, BRANCH_CODE, CLASS_CODE, ENT_BY, ENT_DATE, ENT_BY_IP)</v>
      </c>
      <c r="AP84" s="12" t="str">
        <f t="shared" si="23"/>
        <v>VALUES('08800576','TodaysRequest.aspx', 'USER', '01', '08', 'ABDUL', SYSDATE, '10.6.100.63');</v>
      </c>
    </row>
    <row r="85" spans="1:42" s="6" customFormat="1" ht="76.5" x14ac:dyDescent="0.2">
      <c r="A85" s="4">
        <v>71</v>
      </c>
      <c r="B85" s="5" t="s">
        <v>722</v>
      </c>
      <c r="C85" s="5">
        <v>9000275</v>
      </c>
      <c r="D85" s="6" t="s">
        <v>444</v>
      </c>
      <c r="E85" s="6" t="s">
        <v>299</v>
      </c>
      <c r="F85" s="5" t="s">
        <v>287</v>
      </c>
      <c r="G85" s="6" t="s">
        <v>288</v>
      </c>
      <c r="H85" s="5" t="s">
        <v>649</v>
      </c>
      <c r="I85" s="5">
        <v>729</v>
      </c>
      <c r="J85" s="5" t="s">
        <v>445</v>
      </c>
      <c r="K85" s="6" t="s">
        <v>66</v>
      </c>
      <c r="L85" s="6" t="s">
        <v>109</v>
      </c>
      <c r="M85" s="6" t="s">
        <v>110</v>
      </c>
      <c r="N85" s="7">
        <v>44202</v>
      </c>
      <c r="O85" s="7">
        <v>44197</v>
      </c>
      <c r="P85" s="7">
        <v>44561</v>
      </c>
      <c r="Q85" s="8">
        <v>225</v>
      </c>
      <c r="R85" s="8">
        <v>226</v>
      </c>
      <c r="S85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5" s="12" t="str">
        <f t="shared" si="1"/>
        <v>VALUES('08800503','HUSSAIN INTERNATIONAL SERVICES PVT. LTD','Salaam@123','Y','N',sysdate,'016', 'C', 'Client', 'tooba@his.com.pk','01','B', '08', 'ABDUL', sysdate, '10.6.100.63', '08800503');</v>
      </c>
      <c r="U85" s="12" t="str">
        <f t="shared" si="2"/>
        <v>INSERT INTO sy_user_branches (USER_CD, BRANCH_CODE, CLASS_CODE, ENT_BY, ENT_DATE, ENT_BY_IP)</v>
      </c>
      <c r="V85" s="12" t="str">
        <f t="shared" si="3"/>
        <v>values('08800503','01', '08', 'ABDUL', sysdate, '10.6.100.63');</v>
      </c>
      <c r="W85" s="12" t="str">
        <f t="shared" si="4"/>
        <v>INSERT INTO sy_perm_list (USER_CD, OPT_CD, ACCESS_TYPE, BRANCH_CODE, CLASS_CODE, ENT_BY, ENT_DATE, ENT_BY_IP)</v>
      </c>
      <c r="X85" s="12" t="str">
        <f t="shared" si="5"/>
        <v>VALUES('08800503','ClaimComments.aspx', 'USER', '01', '08', 'ABDUL', SYSDATE, '10.6.100.63');</v>
      </c>
      <c r="Y85" s="12" t="str">
        <f t="shared" si="6"/>
        <v>INSERT INTO sy_perm_list (USER_CD, OPT_CD, ACCESS_TYPE, BRANCH_CODE, CLASS_CODE, ENT_BY, ENT_DATE, ENT_BY_IP)</v>
      </c>
      <c r="Z85" s="12" t="str">
        <f t="shared" si="7"/>
        <v>VALUES('08800503','ClaimDocs.aspx', 'USER', '01', '08', 'ABDUL', SYSDATE, '10.6.100.63');</v>
      </c>
      <c r="AA85" s="12" t="str">
        <f t="shared" si="8"/>
        <v>INSERT INTO sy_perm_list (USER_CD, OPT_CD, ACCESS_TYPE, BRANCH_CODE, CLASS_CODE, ENT_BY, ENT_DATE, ENT_BY_IP)</v>
      </c>
      <c r="AB85" s="12" t="str">
        <f t="shared" si="9"/>
        <v>VALUES('08800503','Client.aspx', 'USER', '01', '08', 'ABDUL', SYSDATE, '10.6.100.63');</v>
      </c>
      <c r="AC85" s="12" t="str">
        <f t="shared" si="10"/>
        <v>INSERT INTO sy_perm_list (USER_CD, OPT_CD, ACCESS_TYPE, BRANCH_CODE, CLASS_CODE, ENT_BY, ENT_DATE, ENT_BY_IP)</v>
      </c>
      <c r="AD85" s="12" t="str">
        <f t="shared" si="11"/>
        <v>VALUES('08800503','ClientReports.aspx', 'USER', '01', '08', 'ABDUL', SYSDATE, '10.6.100.63');</v>
      </c>
      <c r="AE85" s="12" t="str">
        <f t="shared" si="12"/>
        <v>INSERT INTO sy_perm_list (USER_CD, OPT_CD, ACCESS_TYPE, BRANCH_CODE, CLASS_CODE, ENT_BY, ENT_DATE, ENT_BY_IP)</v>
      </c>
      <c r="AF85" s="12" t="str">
        <f t="shared" si="13"/>
        <v>VALUES('08800503','ClientRequests.aspx', 'USER', '01', '08', 'ABDUL', SYSDATE, '10.6.100.63');</v>
      </c>
      <c r="AG85" s="12" t="str">
        <f t="shared" si="14"/>
        <v>INSERT INTO sy_perm_list (USER_CD, OPT_CD, ACCESS_TYPE, BRANCH_CODE, CLASS_CODE, ENT_BY, ENT_DATE, ENT_BY_IP)</v>
      </c>
      <c r="AH85" s="12" t="str">
        <f t="shared" si="15"/>
        <v>VALUES('08800503','HealthLife.aspx', 'USER', '01', '08', 'ABDUL', SYSDATE, '10.6.100.63');</v>
      </c>
      <c r="AI85" s="12" t="str">
        <f t="shared" si="16"/>
        <v>INSERT INTO sy_perm_list (USER_CD, OPT_CD, ACCESS_TYPE, BRANCH_CODE, CLASS_CODE, ENT_BY, ENT_DATE, ENT_BY_IP)</v>
      </c>
      <c r="AJ85" s="12" t="str">
        <f t="shared" si="17"/>
        <v>VALUES('08800503','IpdClaim.aspx', 'USER', '01', '08', 'ABDUL', SYSDATE, '10.6.100.63');</v>
      </c>
      <c r="AK85" s="12" t="str">
        <f t="shared" si="18"/>
        <v>INSERT INTO sy_perm_list (USER_CD, OPT_CD, ACCESS_TYPE, BRANCH_CODE, CLASS_CODE, ENT_BY, ENT_DATE, ENT_BY_IP)</v>
      </c>
      <c r="AL85" s="12" t="str">
        <f t="shared" si="19"/>
        <v>VALUES('08800503','OpdClaim.aspx', 'USER', '01', '08', 'ABDUL', SYSDATE, '10.6.100.63');</v>
      </c>
      <c r="AM85" s="12" t="str">
        <f t="shared" si="20"/>
        <v>INSERT INTO sy_perm_list (USER_CD, OPT_CD, ACCESS_TYPE, BRANCH_CODE, CLASS_CODE, ENT_BY, ENT_DATE, ENT_BY_IP)</v>
      </c>
      <c r="AN85" s="12" t="str">
        <f t="shared" si="21"/>
        <v>VALUES('08800503','RequestDetails.aspx', 'USER', '01', '08', 'ABDUL', SYSDATE, '10.6.100.63');</v>
      </c>
      <c r="AO85" s="12" t="str">
        <f t="shared" si="22"/>
        <v>INSERT INTO sy_perm_list (USER_CD, OPT_CD, ACCESS_TYPE, BRANCH_CODE, CLASS_CODE, ENT_BY, ENT_DATE, ENT_BY_IP)</v>
      </c>
      <c r="AP85" s="12" t="str">
        <f t="shared" si="23"/>
        <v>VALUES('08800503','TodaysRequest.aspx', 'USER', '01', '08', 'ABDUL', SYSDATE, '10.6.100.63');</v>
      </c>
    </row>
    <row r="86" spans="1:42" s="6" customFormat="1" ht="76.5" x14ac:dyDescent="0.2">
      <c r="A86" s="4">
        <v>72</v>
      </c>
      <c r="B86" s="5" t="s">
        <v>723</v>
      </c>
      <c r="C86" s="5">
        <v>9000244</v>
      </c>
      <c r="D86" s="6" t="s">
        <v>337</v>
      </c>
      <c r="E86" s="6" t="s">
        <v>290</v>
      </c>
      <c r="F86" s="5" t="s">
        <v>287</v>
      </c>
      <c r="G86" s="6" t="s">
        <v>288</v>
      </c>
      <c r="H86" s="5" t="s">
        <v>649</v>
      </c>
      <c r="I86" s="5">
        <v>730</v>
      </c>
      <c r="J86" s="5" t="s">
        <v>442</v>
      </c>
      <c r="K86" s="6" t="s">
        <v>71</v>
      </c>
      <c r="L86" s="6" t="s">
        <v>24</v>
      </c>
      <c r="M86" s="6" t="s">
        <v>100</v>
      </c>
      <c r="N86" s="7">
        <v>44202</v>
      </c>
      <c r="O86" s="7">
        <v>44185</v>
      </c>
      <c r="P86" s="7">
        <v>44549</v>
      </c>
      <c r="Q86" s="8">
        <v>16</v>
      </c>
      <c r="R86" s="8">
        <v>51</v>
      </c>
      <c r="S86" s="12" t="str">
        <f t="shared" si="0"/>
        <v>insert into sy_users (USER_CD, USER_NAME, USER_PASS, ACTIVE, LOCK_USER, LAST_PASS_DATE, COST_CODE, USER_CATEGORY, DESIGNATION, EMAIL, BRANCH_CODE, USER_TYPE, CLASS_CODE, ENT_BY, ENT_DATE, ENT_BY_IP,PARTTAKER_CODE)</v>
      </c>
      <c r="T86" s="12" t="str">
        <f t="shared" si="1"/>
        <v>VALUES('08801089','IAMPLIFY CONSULTING SOLUTION (PVT) LTD','Salaam@123','Y','N',sysdate,'016', 'C', 'Client', 'ashrafiacomm@gmail.com','01','B', '08', 'ABDUL', sysdate, '10.6.100.63', '08801089');</v>
      </c>
      <c r="U86" s="12" t="str">
        <f t="shared" si="2"/>
        <v>INSERT INTO sy_user_branches (USER_CD, BRANCH_CODE, CLASS_CODE, ENT_BY, ENT_DATE, ENT_BY_IP)</v>
      </c>
      <c r="V86" s="12" t="str">
        <f t="shared" si="3"/>
        <v>values('08801089','01', '08', 'ABDUL', sysdate, '10.6.100.63');</v>
      </c>
      <c r="W86" s="12" t="str">
        <f t="shared" si="4"/>
        <v>INSERT INTO sy_perm_list (USER_CD, OPT_CD, ACCESS_TYPE, BRANCH_CODE, CLASS_CODE, ENT_BY, ENT_DATE, ENT_BY_IP)</v>
      </c>
      <c r="X86" s="12" t="str">
        <f t="shared" si="5"/>
        <v>VALUES('08801089','ClaimComments.aspx', 'USER', '01', '08', 'ABDUL', SYSDATE, '10.6.100.63');</v>
      </c>
      <c r="Y86" s="12" t="str">
        <f t="shared" si="6"/>
        <v>INSERT INTO sy_perm_list (USER_CD, OPT_CD, ACCESS_TYPE, BRANCH_CODE, CLASS_CODE, ENT_BY, ENT_DATE, ENT_BY_IP)</v>
      </c>
      <c r="Z86" s="12" t="str">
        <f t="shared" si="7"/>
        <v>VALUES('08801089','ClaimDocs.aspx', 'USER', '01', '08', 'ABDUL', SYSDATE, '10.6.100.63');</v>
      </c>
      <c r="AA86" s="12" t="str">
        <f t="shared" si="8"/>
        <v>INSERT INTO sy_perm_list (USER_CD, OPT_CD, ACCESS_TYPE, BRANCH_CODE, CLASS_CODE, ENT_BY, ENT_DATE, ENT_BY_IP)</v>
      </c>
      <c r="AB86" s="12" t="str">
        <f t="shared" si="9"/>
        <v>VALUES('08801089','Client.aspx', 'USER', '01', '08', 'ABDUL', SYSDATE, '10.6.100.63');</v>
      </c>
      <c r="AC86" s="12" t="str">
        <f t="shared" si="10"/>
        <v>INSERT INTO sy_perm_list (USER_CD, OPT_CD, ACCESS_TYPE, BRANCH_CODE, CLASS_CODE, ENT_BY, ENT_DATE, ENT_BY_IP)</v>
      </c>
      <c r="AD86" s="12" t="str">
        <f t="shared" si="11"/>
        <v>VALUES('08801089','ClientReports.aspx', 'USER', '01', '08', 'ABDUL', SYSDATE, '10.6.100.63');</v>
      </c>
      <c r="AE86" s="12" t="str">
        <f t="shared" si="12"/>
        <v>INSERT INTO sy_perm_list (USER_CD, OPT_CD, ACCESS_TYPE, BRANCH_CODE, CLASS_CODE, ENT_BY, ENT_DATE, ENT_BY_IP)</v>
      </c>
      <c r="AF86" s="12" t="str">
        <f t="shared" si="13"/>
        <v>VALUES('08801089','ClientRequests.aspx', 'USER', '01', '08', 'ABDUL', SYSDATE, '10.6.100.63');</v>
      </c>
      <c r="AG86" s="12" t="str">
        <f t="shared" si="14"/>
        <v>INSERT INTO sy_perm_list (USER_CD, OPT_CD, ACCESS_TYPE, BRANCH_CODE, CLASS_CODE, ENT_BY, ENT_DATE, ENT_BY_IP)</v>
      </c>
      <c r="AH86" s="12" t="str">
        <f t="shared" si="15"/>
        <v>VALUES('08801089','HealthLife.aspx', 'USER', '01', '08', 'ABDUL', SYSDATE, '10.6.100.63');</v>
      </c>
      <c r="AI86" s="12" t="str">
        <f t="shared" si="16"/>
        <v>INSERT INTO sy_perm_list (USER_CD, OPT_CD, ACCESS_TYPE, BRANCH_CODE, CLASS_CODE, ENT_BY, ENT_DATE, ENT_BY_IP)</v>
      </c>
      <c r="AJ86" s="12" t="str">
        <f t="shared" si="17"/>
        <v>VALUES('08801089','IpdClaim.aspx', 'USER', '01', '08', 'ABDUL', SYSDATE, '10.6.100.63');</v>
      </c>
      <c r="AK86" s="12" t="str">
        <f t="shared" si="18"/>
        <v>INSERT INTO sy_perm_list (USER_CD, OPT_CD, ACCESS_TYPE, BRANCH_CODE, CLASS_CODE, ENT_BY, ENT_DATE, ENT_BY_IP)</v>
      </c>
      <c r="AL86" s="12" t="str">
        <f t="shared" si="19"/>
        <v>VALUES('08801089','OpdClaim.aspx', 'USER', '01', '08', 'ABDUL', SYSDATE, '10.6.100.63');</v>
      </c>
      <c r="AM86" s="12" t="str">
        <f t="shared" si="20"/>
        <v>INSERT INTO sy_perm_list (USER_CD, OPT_CD, ACCESS_TYPE, BRANCH_CODE, CLASS_CODE, ENT_BY, ENT_DATE, ENT_BY_IP)</v>
      </c>
      <c r="AN86" s="12" t="str">
        <f t="shared" si="21"/>
        <v>VALUES('08801089','RequestDetails.aspx', 'USER', '01', '08', 'ABDUL', SYSDATE, '10.6.100.63');</v>
      </c>
      <c r="AO86" s="12" t="str">
        <f t="shared" si="22"/>
        <v>INSERT INTO sy_perm_list (USER_CD, OPT_CD, ACCESS_TYPE, BRANCH_CODE, CLASS_CODE, ENT_BY, ENT_DATE, ENT_BY_IP)</v>
      </c>
      <c r="AP86" s="12" t="str">
        <f t="shared" si="23"/>
        <v>VALUES('08801089','TodaysRequest.aspx', 'USER', '01', '08', 'ABDUL', SYSDATE, '10.6.100.63');</v>
      </c>
    </row>
    <row r="87" spans="1:42" s="6" customFormat="1" ht="76.5" x14ac:dyDescent="0.2">
      <c r="A87" s="4">
        <v>73</v>
      </c>
      <c r="B87" s="5" t="s">
        <v>724</v>
      </c>
      <c r="C87" s="5">
        <v>9000248</v>
      </c>
      <c r="D87" s="6" t="s">
        <v>293</v>
      </c>
      <c r="E87" s="6" t="s">
        <v>290</v>
      </c>
      <c r="F87" s="5" t="s">
        <v>287</v>
      </c>
      <c r="G87" s="6" t="s">
        <v>288</v>
      </c>
      <c r="H87" s="5" t="s">
        <v>652</v>
      </c>
      <c r="I87" s="5">
        <v>536</v>
      </c>
      <c r="J87" s="5" t="s">
        <v>302</v>
      </c>
      <c r="K87" s="6" t="s">
        <v>303</v>
      </c>
      <c r="L87" s="6" t="s">
        <v>593</v>
      </c>
      <c r="M87" s="6" t="s">
        <v>594</v>
      </c>
      <c r="N87" s="7">
        <v>43972</v>
      </c>
      <c r="O87" s="7">
        <v>43963</v>
      </c>
      <c r="P87" s="7">
        <v>44327</v>
      </c>
      <c r="Q87" s="8">
        <v>20</v>
      </c>
      <c r="R87" s="8">
        <v>28</v>
      </c>
      <c r="S87" s="12" t="str">
        <f t="shared" ref="S87:S154" si="24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87" s="12" t="str">
        <f t="shared" ref="T87:T154" si="25">"VALUES('"&amp;B87&amp;"','"&amp;K87&amp;"','Salaam@123','Y','N',sysdate,'016', 'C', 'Client', '"&amp;M87&amp;"','01','B', '08', 'ABDUL', sysdate, '10.6.100.63', '"&amp;B87&amp;"');"</f>
        <v>VALUES('08801330','ICON LIFE MARDAN','Salaam@123','Y','N',sysdate,'016', 'C', 'Client', 'niaztoru@gmail.com','01','B', '08', 'ABDUL', sysdate, '10.6.100.63', '08801330');</v>
      </c>
      <c r="U87" s="12" t="str">
        <f t="shared" ref="U87:U154" si="26">"INSERT INTO sy_user_branches (USER_CD, BRANCH_CODE, CLASS_CODE, ENT_BY, ENT_DATE, ENT_BY_IP)"</f>
        <v>INSERT INTO sy_user_branches (USER_CD, BRANCH_CODE, CLASS_CODE, ENT_BY, ENT_DATE, ENT_BY_IP)</v>
      </c>
      <c r="V87" s="12" t="str">
        <f t="shared" ref="V87:V154" si="27">"values('"&amp;B87&amp;"','01', '08', 'ABDUL', sysdate, '10.6.100.63');"</f>
        <v>values('08801330','01', '08', 'ABDUL', sysdate, '10.6.100.63');</v>
      </c>
      <c r="W87" s="12" t="str">
        <f t="shared" ref="W87:W154" si="28">"INSERT INTO sy_perm_list (USER_CD, OPT_CD, ACCESS_TYPE, BRANCH_CODE, CLASS_CODE, ENT_BY, ENT_DATE, ENT_BY_IP)"</f>
        <v>INSERT INTO sy_perm_list (USER_CD, OPT_CD, ACCESS_TYPE, BRANCH_CODE, CLASS_CODE, ENT_BY, ENT_DATE, ENT_BY_IP)</v>
      </c>
      <c r="X87" s="12" t="str">
        <f t="shared" ref="X87:X154" si="29">"VALUES('"&amp;B87&amp;"','ClaimComments.aspx', 'USER', '01', '08', 'ABDUL', SYSDATE, '10.6.100.63');"</f>
        <v>VALUES('08801330','ClaimComments.aspx', 'USER', '01', '08', 'ABDUL', SYSDATE, '10.6.100.63');</v>
      </c>
      <c r="Y87" s="12" t="str">
        <f t="shared" ref="Y87:Y154" si="30">"INSERT INTO sy_perm_list (USER_CD, OPT_CD, ACCESS_TYPE, BRANCH_CODE, CLASS_CODE, ENT_BY, ENT_DATE, ENT_BY_IP)"</f>
        <v>INSERT INTO sy_perm_list (USER_CD, OPT_CD, ACCESS_TYPE, BRANCH_CODE, CLASS_CODE, ENT_BY, ENT_DATE, ENT_BY_IP)</v>
      </c>
      <c r="Z87" s="12" t="str">
        <f t="shared" ref="Z87:Z154" si="31">"VALUES('"&amp;B87&amp;"','ClaimDocs.aspx', 'USER', '01', '08', 'ABDUL', SYSDATE, '10.6.100.63');"</f>
        <v>VALUES('08801330','ClaimDocs.aspx', 'USER', '01', '08', 'ABDUL', SYSDATE, '10.6.100.63');</v>
      </c>
      <c r="AA87" s="12" t="str">
        <f t="shared" ref="AA87:AA154" si="32">"INSERT INTO sy_perm_list (USER_CD, OPT_CD, ACCESS_TYPE, BRANCH_CODE, CLASS_CODE, ENT_BY, ENT_DATE, ENT_BY_IP)"</f>
        <v>INSERT INTO sy_perm_list (USER_CD, OPT_CD, ACCESS_TYPE, BRANCH_CODE, CLASS_CODE, ENT_BY, ENT_DATE, ENT_BY_IP)</v>
      </c>
      <c r="AB87" s="12" t="str">
        <f t="shared" ref="AB87:AB154" si="33">"VALUES('"&amp;B87&amp;"','Client.aspx', 'USER', '01', '08', 'ABDUL', SYSDATE, '10.6.100.63');"</f>
        <v>VALUES('08801330','Client.aspx', 'USER', '01', '08', 'ABDUL', SYSDATE, '10.6.100.63');</v>
      </c>
      <c r="AC87" s="12" t="str">
        <f t="shared" ref="AC87:AC154" si="34">"INSERT INTO sy_perm_list (USER_CD, OPT_CD, ACCESS_TYPE, BRANCH_CODE, CLASS_CODE, ENT_BY, ENT_DATE, ENT_BY_IP)"</f>
        <v>INSERT INTO sy_perm_list (USER_CD, OPT_CD, ACCESS_TYPE, BRANCH_CODE, CLASS_CODE, ENT_BY, ENT_DATE, ENT_BY_IP)</v>
      </c>
      <c r="AD87" s="12" t="str">
        <f t="shared" ref="AD87:AD154" si="35">"VALUES('"&amp;B87&amp;"','ClientReports.aspx', 'USER', '01', '08', 'ABDUL', SYSDATE, '10.6.100.63');"</f>
        <v>VALUES('08801330','ClientReports.aspx', 'USER', '01', '08', 'ABDUL', SYSDATE, '10.6.100.63');</v>
      </c>
      <c r="AE87" s="12" t="str">
        <f t="shared" ref="AE87:AE154" si="36">"INSERT INTO sy_perm_list (USER_CD, OPT_CD, ACCESS_TYPE, BRANCH_CODE, CLASS_CODE, ENT_BY, ENT_DATE, ENT_BY_IP)"</f>
        <v>INSERT INTO sy_perm_list (USER_CD, OPT_CD, ACCESS_TYPE, BRANCH_CODE, CLASS_CODE, ENT_BY, ENT_DATE, ENT_BY_IP)</v>
      </c>
      <c r="AF87" s="12" t="str">
        <f t="shared" ref="AF87:AF154" si="37">"VALUES('"&amp;B87&amp;"','ClientRequests.aspx', 'USER', '01', '08', 'ABDUL', SYSDATE, '10.6.100.63');"</f>
        <v>VALUES('08801330','ClientRequests.aspx', 'USER', '01', '08', 'ABDUL', SYSDATE, '10.6.100.63');</v>
      </c>
      <c r="AG87" s="12" t="str">
        <f t="shared" ref="AG87:AG154" si="38">"INSERT INTO sy_perm_list (USER_CD, OPT_CD, ACCESS_TYPE, BRANCH_CODE, CLASS_CODE, ENT_BY, ENT_DATE, ENT_BY_IP)"</f>
        <v>INSERT INTO sy_perm_list (USER_CD, OPT_CD, ACCESS_TYPE, BRANCH_CODE, CLASS_CODE, ENT_BY, ENT_DATE, ENT_BY_IP)</v>
      </c>
      <c r="AH87" s="12" t="str">
        <f t="shared" ref="AH87:AH154" si="39">"VALUES('"&amp;B87&amp;"','HealthLife.aspx', 'USER', '01', '08', 'ABDUL', SYSDATE, '10.6.100.63');"</f>
        <v>VALUES('08801330','HealthLife.aspx', 'USER', '01', '08', 'ABDUL', SYSDATE, '10.6.100.63');</v>
      </c>
      <c r="AI87" s="12" t="str">
        <f t="shared" ref="AI87:AI154" si="40">"INSERT INTO sy_perm_list (USER_CD, OPT_CD, ACCESS_TYPE, BRANCH_CODE, CLASS_CODE, ENT_BY, ENT_DATE, ENT_BY_IP)"</f>
        <v>INSERT INTO sy_perm_list (USER_CD, OPT_CD, ACCESS_TYPE, BRANCH_CODE, CLASS_CODE, ENT_BY, ENT_DATE, ENT_BY_IP)</v>
      </c>
      <c r="AJ87" s="12" t="str">
        <f t="shared" ref="AJ87:AJ154" si="41">"VALUES('"&amp;B87&amp;"','IpdClaim.aspx', 'USER', '01', '08', 'ABDUL', SYSDATE, '10.6.100.63');"</f>
        <v>VALUES('08801330','IpdClaim.aspx', 'USER', '01', '08', 'ABDUL', SYSDATE, '10.6.100.63');</v>
      </c>
      <c r="AK87" s="12" t="str">
        <f t="shared" ref="AK87:AK154" si="42">"INSERT INTO sy_perm_list (USER_CD, OPT_CD, ACCESS_TYPE, BRANCH_CODE, CLASS_CODE, ENT_BY, ENT_DATE, ENT_BY_IP)"</f>
        <v>INSERT INTO sy_perm_list (USER_CD, OPT_CD, ACCESS_TYPE, BRANCH_CODE, CLASS_CODE, ENT_BY, ENT_DATE, ENT_BY_IP)</v>
      </c>
      <c r="AL87" s="12" t="str">
        <f t="shared" ref="AL87:AL154" si="43">"VALUES('"&amp;B87&amp;"','OpdClaim.aspx', 'USER', '01', '08', 'ABDUL', SYSDATE, '10.6.100.63');"</f>
        <v>VALUES('08801330','OpdClaim.aspx', 'USER', '01', '08', 'ABDUL', SYSDATE, '10.6.100.63');</v>
      </c>
      <c r="AM87" s="12" t="str">
        <f t="shared" ref="AM87:AM154" si="44">"INSERT INTO sy_perm_list (USER_CD, OPT_CD, ACCESS_TYPE, BRANCH_CODE, CLASS_CODE, ENT_BY, ENT_DATE, ENT_BY_IP)"</f>
        <v>INSERT INTO sy_perm_list (USER_CD, OPT_CD, ACCESS_TYPE, BRANCH_CODE, CLASS_CODE, ENT_BY, ENT_DATE, ENT_BY_IP)</v>
      </c>
      <c r="AN87" s="12" t="str">
        <f t="shared" ref="AN87:AN154" si="45">"VALUES('"&amp;B87&amp;"','RequestDetails.aspx', 'USER', '01', '08', 'ABDUL', SYSDATE, '10.6.100.63');"</f>
        <v>VALUES('08801330','RequestDetails.aspx', 'USER', '01', '08', 'ABDUL', SYSDATE, '10.6.100.63');</v>
      </c>
      <c r="AO87" s="12" t="str">
        <f t="shared" ref="AO87:AO154" si="46">"INSERT INTO sy_perm_list (USER_CD, OPT_CD, ACCESS_TYPE, BRANCH_CODE, CLASS_CODE, ENT_BY, ENT_DATE, ENT_BY_IP)"</f>
        <v>INSERT INTO sy_perm_list (USER_CD, OPT_CD, ACCESS_TYPE, BRANCH_CODE, CLASS_CODE, ENT_BY, ENT_DATE, ENT_BY_IP)</v>
      </c>
      <c r="AP87" s="12" t="str">
        <f t="shared" ref="AP87:AP154" si="47">"VALUES('"&amp;B87&amp;"','TodaysRequest.aspx', 'USER', '01', '08', 'ABDUL', SYSDATE, '10.6.100.63');"</f>
        <v>VALUES('08801330','TodaysRequest.aspx', 'USER', '01', '08', 'ABDUL', SYSDATE, '10.6.100.63');</v>
      </c>
    </row>
    <row r="88" spans="1:42" s="6" customFormat="1" ht="76.5" x14ac:dyDescent="0.2">
      <c r="A88" s="4">
        <v>74</v>
      </c>
      <c r="B88" s="5" t="s">
        <v>725</v>
      </c>
      <c r="C88" s="5">
        <v>9000271</v>
      </c>
      <c r="D88" s="6" t="s">
        <v>313</v>
      </c>
      <c r="E88" s="6" t="s">
        <v>314</v>
      </c>
      <c r="F88" s="5" t="s">
        <v>287</v>
      </c>
      <c r="G88" s="6" t="s">
        <v>288</v>
      </c>
      <c r="H88" s="5" t="s">
        <v>649</v>
      </c>
      <c r="I88" s="5">
        <v>596</v>
      </c>
      <c r="J88" s="5" t="s">
        <v>339</v>
      </c>
      <c r="K88" s="6" t="s">
        <v>163</v>
      </c>
      <c r="L88" s="6" t="s">
        <v>164</v>
      </c>
      <c r="M88" s="6" t="s">
        <v>165</v>
      </c>
      <c r="N88" s="7">
        <v>44069</v>
      </c>
      <c r="O88" s="7">
        <v>44013</v>
      </c>
      <c r="P88" s="7">
        <v>44377</v>
      </c>
      <c r="Q88" s="8">
        <v>513</v>
      </c>
      <c r="R88" s="8">
        <v>1249</v>
      </c>
      <c r="S8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88" s="12" t="str">
        <f t="shared" si="25"/>
        <v>VALUES('08004822','INBOX BUSINESS TECHNOLOGIES (PRIVATE) LIMITED','Salaam@123','Y','N',sysdate,'016', 'C', 'Client', 'tarteel.ansari@inboxbiz.com','01','B', '08', 'ABDUL', sysdate, '10.6.100.63', '08004822');</v>
      </c>
      <c r="U88" s="12" t="str">
        <f t="shared" si="26"/>
        <v>INSERT INTO sy_user_branches (USER_CD, BRANCH_CODE, CLASS_CODE, ENT_BY, ENT_DATE, ENT_BY_IP)</v>
      </c>
      <c r="V88" s="12" t="str">
        <f t="shared" si="27"/>
        <v>values('08004822','01', '08', 'ABDUL', sysdate, '10.6.100.63');</v>
      </c>
      <c r="W88" s="12" t="str">
        <f t="shared" si="28"/>
        <v>INSERT INTO sy_perm_list (USER_CD, OPT_CD, ACCESS_TYPE, BRANCH_CODE, CLASS_CODE, ENT_BY, ENT_DATE, ENT_BY_IP)</v>
      </c>
      <c r="X88" s="12" t="str">
        <f t="shared" si="29"/>
        <v>VALUES('08004822','ClaimComments.aspx', 'USER', '01', '08', 'ABDUL', SYSDATE, '10.6.100.63');</v>
      </c>
      <c r="Y88" s="12" t="str">
        <f t="shared" si="30"/>
        <v>INSERT INTO sy_perm_list (USER_CD, OPT_CD, ACCESS_TYPE, BRANCH_CODE, CLASS_CODE, ENT_BY, ENT_DATE, ENT_BY_IP)</v>
      </c>
      <c r="Z88" s="12" t="str">
        <f t="shared" si="31"/>
        <v>VALUES('08004822','ClaimDocs.aspx', 'USER', '01', '08', 'ABDUL', SYSDATE, '10.6.100.63');</v>
      </c>
      <c r="AA88" s="12" t="str">
        <f t="shared" si="32"/>
        <v>INSERT INTO sy_perm_list (USER_CD, OPT_CD, ACCESS_TYPE, BRANCH_CODE, CLASS_CODE, ENT_BY, ENT_DATE, ENT_BY_IP)</v>
      </c>
      <c r="AB88" s="12" t="str">
        <f t="shared" si="33"/>
        <v>VALUES('08004822','Client.aspx', 'USER', '01', '08', 'ABDUL', SYSDATE, '10.6.100.63');</v>
      </c>
      <c r="AC88" s="12" t="str">
        <f t="shared" si="34"/>
        <v>INSERT INTO sy_perm_list (USER_CD, OPT_CD, ACCESS_TYPE, BRANCH_CODE, CLASS_CODE, ENT_BY, ENT_DATE, ENT_BY_IP)</v>
      </c>
      <c r="AD88" s="12" t="str">
        <f t="shared" si="35"/>
        <v>VALUES('08004822','ClientReports.aspx', 'USER', '01', '08', 'ABDUL', SYSDATE, '10.6.100.63');</v>
      </c>
      <c r="AE88" s="12" t="str">
        <f t="shared" si="36"/>
        <v>INSERT INTO sy_perm_list (USER_CD, OPT_CD, ACCESS_TYPE, BRANCH_CODE, CLASS_CODE, ENT_BY, ENT_DATE, ENT_BY_IP)</v>
      </c>
      <c r="AF88" s="12" t="str">
        <f t="shared" si="37"/>
        <v>VALUES('08004822','ClientRequests.aspx', 'USER', '01', '08', 'ABDUL', SYSDATE, '10.6.100.63');</v>
      </c>
      <c r="AG88" s="12" t="str">
        <f t="shared" si="38"/>
        <v>INSERT INTO sy_perm_list (USER_CD, OPT_CD, ACCESS_TYPE, BRANCH_CODE, CLASS_CODE, ENT_BY, ENT_DATE, ENT_BY_IP)</v>
      </c>
      <c r="AH88" s="12" t="str">
        <f t="shared" si="39"/>
        <v>VALUES('08004822','HealthLife.aspx', 'USER', '01', '08', 'ABDUL', SYSDATE, '10.6.100.63');</v>
      </c>
      <c r="AI88" s="12" t="str">
        <f t="shared" si="40"/>
        <v>INSERT INTO sy_perm_list (USER_CD, OPT_CD, ACCESS_TYPE, BRANCH_CODE, CLASS_CODE, ENT_BY, ENT_DATE, ENT_BY_IP)</v>
      </c>
      <c r="AJ88" s="12" t="str">
        <f t="shared" si="41"/>
        <v>VALUES('08004822','IpdClaim.aspx', 'USER', '01', '08', 'ABDUL', SYSDATE, '10.6.100.63');</v>
      </c>
      <c r="AK88" s="12" t="str">
        <f t="shared" si="42"/>
        <v>INSERT INTO sy_perm_list (USER_CD, OPT_CD, ACCESS_TYPE, BRANCH_CODE, CLASS_CODE, ENT_BY, ENT_DATE, ENT_BY_IP)</v>
      </c>
      <c r="AL88" s="12" t="str">
        <f t="shared" si="43"/>
        <v>VALUES('08004822','OpdClaim.aspx', 'USER', '01', '08', 'ABDUL', SYSDATE, '10.6.100.63');</v>
      </c>
      <c r="AM88" s="12" t="str">
        <f t="shared" si="44"/>
        <v>INSERT INTO sy_perm_list (USER_CD, OPT_CD, ACCESS_TYPE, BRANCH_CODE, CLASS_CODE, ENT_BY, ENT_DATE, ENT_BY_IP)</v>
      </c>
      <c r="AN88" s="12" t="str">
        <f t="shared" si="45"/>
        <v>VALUES('08004822','RequestDetails.aspx', 'USER', '01', '08', 'ABDUL', SYSDATE, '10.6.100.63');</v>
      </c>
      <c r="AO88" s="12" t="str">
        <f t="shared" si="46"/>
        <v>INSERT INTO sy_perm_list (USER_CD, OPT_CD, ACCESS_TYPE, BRANCH_CODE, CLASS_CODE, ENT_BY, ENT_DATE, ENT_BY_IP)</v>
      </c>
      <c r="AP88" s="12" t="str">
        <f t="shared" si="47"/>
        <v>VALUES('08004822','TodaysRequest.aspx', 'USER', '01', '08', 'ABDUL', SYSDATE, '10.6.100.63');</v>
      </c>
    </row>
    <row r="89" spans="1:42" s="6" customFormat="1" ht="12.75" x14ac:dyDescent="0.2">
      <c r="A89" s="4"/>
      <c r="B89" s="5" t="s">
        <v>725</v>
      </c>
      <c r="C89" s="5">
        <v>9000271</v>
      </c>
      <c r="D89" s="6" t="s">
        <v>313</v>
      </c>
      <c r="E89" s="6" t="s">
        <v>314</v>
      </c>
      <c r="F89" s="5" t="s">
        <v>287</v>
      </c>
      <c r="G89" s="6" t="s">
        <v>288</v>
      </c>
      <c r="H89" s="5" t="s">
        <v>649</v>
      </c>
      <c r="I89" s="5">
        <v>596</v>
      </c>
      <c r="J89" s="5" t="s">
        <v>1093</v>
      </c>
      <c r="K89" s="6" t="s">
        <v>163</v>
      </c>
      <c r="L89" s="6" t="s">
        <v>1092</v>
      </c>
      <c r="M89" s="9" t="s">
        <v>165</v>
      </c>
      <c r="O89" s="7">
        <v>44378</v>
      </c>
      <c r="P89" s="7">
        <v>44742</v>
      </c>
      <c r="Q89" s="8"/>
      <c r="R89" s="8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</row>
    <row r="90" spans="1:42" s="6" customFormat="1" ht="76.5" x14ac:dyDescent="0.2">
      <c r="A90" s="4">
        <v>75</v>
      </c>
      <c r="B90" s="5" t="s">
        <v>726</v>
      </c>
      <c r="C90" s="5">
        <v>9000248</v>
      </c>
      <c r="D90" s="6" t="s">
        <v>293</v>
      </c>
      <c r="E90" s="6" t="s">
        <v>290</v>
      </c>
      <c r="F90" s="5" t="s">
        <v>287</v>
      </c>
      <c r="G90" s="6" t="s">
        <v>288</v>
      </c>
      <c r="H90" s="5" t="s">
        <v>652</v>
      </c>
      <c r="I90" s="5">
        <v>812</v>
      </c>
      <c r="J90" s="5" t="s">
        <v>540</v>
      </c>
      <c r="K90" s="6" t="s">
        <v>541</v>
      </c>
      <c r="L90" s="6" t="s">
        <v>595</v>
      </c>
      <c r="M90" s="6" t="s">
        <v>596</v>
      </c>
      <c r="N90" s="7">
        <v>44265</v>
      </c>
      <c r="O90" s="7">
        <v>44266</v>
      </c>
      <c r="P90" s="7">
        <v>44630</v>
      </c>
      <c r="Q90" s="8">
        <v>43</v>
      </c>
      <c r="R90" s="8">
        <v>136</v>
      </c>
      <c r="S9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0" s="12" t="str">
        <f t="shared" si="25"/>
        <v>VALUES('08801293','INSTITUTE OF POLICY STUDIES','Salaam@123','Y','N',sysdate,'016', 'C', 'Client', 'farrukh@ips.net.pk','01','B', '08', 'ABDUL', sysdate, '10.6.100.63', '08801293');</v>
      </c>
      <c r="U90" s="12" t="str">
        <f t="shared" si="26"/>
        <v>INSERT INTO sy_user_branches (USER_CD, BRANCH_CODE, CLASS_CODE, ENT_BY, ENT_DATE, ENT_BY_IP)</v>
      </c>
      <c r="V90" s="12" t="str">
        <f t="shared" si="27"/>
        <v>values('08801293','01', '08', 'ABDUL', sysdate, '10.6.100.63');</v>
      </c>
      <c r="W90" s="12" t="str">
        <f t="shared" si="28"/>
        <v>INSERT INTO sy_perm_list (USER_CD, OPT_CD, ACCESS_TYPE, BRANCH_CODE, CLASS_CODE, ENT_BY, ENT_DATE, ENT_BY_IP)</v>
      </c>
      <c r="X90" s="12" t="str">
        <f t="shared" si="29"/>
        <v>VALUES('08801293','ClaimComments.aspx', 'USER', '01', '08', 'ABDUL', SYSDATE, '10.6.100.63');</v>
      </c>
      <c r="Y90" s="12" t="str">
        <f t="shared" si="30"/>
        <v>INSERT INTO sy_perm_list (USER_CD, OPT_CD, ACCESS_TYPE, BRANCH_CODE, CLASS_CODE, ENT_BY, ENT_DATE, ENT_BY_IP)</v>
      </c>
      <c r="Z90" s="12" t="str">
        <f t="shared" si="31"/>
        <v>VALUES('08801293','ClaimDocs.aspx', 'USER', '01', '08', 'ABDUL', SYSDATE, '10.6.100.63');</v>
      </c>
      <c r="AA90" s="12" t="str">
        <f t="shared" si="32"/>
        <v>INSERT INTO sy_perm_list (USER_CD, OPT_CD, ACCESS_TYPE, BRANCH_CODE, CLASS_CODE, ENT_BY, ENT_DATE, ENT_BY_IP)</v>
      </c>
      <c r="AB90" s="12" t="str">
        <f t="shared" si="33"/>
        <v>VALUES('08801293','Client.aspx', 'USER', '01', '08', 'ABDUL', SYSDATE, '10.6.100.63');</v>
      </c>
      <c r="AC90" s="12" t="str">
        <f t="shared" si="34"/>
        <v>INSERT INTO sy_perm_list (USER_CD, OPT_CD, ACCESS_TYPE, BRANCH_CODE, CLASS_CODE, ENT_BY, ENT_DATE, ENT_BY_IP)</v>
      </c>
      <c r="AD90" s="12" t="str">
        <f t="shared" si="35"/>
        <v>VALUES('08801293','ClientReports.aspx', 'USER', '01', '08', 'ABDUL', SYSDATE, '10.6.100.63');</v>
      </c>
      <c r="AE90" s="12" t="str">
        <f t="shared" si="36"/>
        <v>INSERT INTO sy_perm_list (USER_CD, OPT_CD, ACCESS_TYPE, BRANCH_CODE, CLASS_CODE, ENT_BY, ENT_DATE, ENT_BY_IP)</v>
      </c>
      <c r="AF90" s="12" t="str">
        <f t="shared" si="37"/>
        <v>VALUES('08801293','ClientRequests.aspx', 'USER', '01', '08', 'ABDUL', SYSDATE, '10.6.100.63');</v>
      </c>
      <c r="AG90" s="12" t="str">
        <f t="shared" si="38"/>
        <v>INSERT INTO sy_perm_list (USER_CD, OPT_CD, ACCESS_TYPE, BRANCH_CODE, CLASS_CODE, ENT_BY, ENT_DATE, ENT_BY_IP)</v>
      </c>
      <c r="AH90" s="12" t="str">
        <f t="shared" si="39"/>
        <v>VALUES('08801293','HealthLife.aspx', 'USER', '01', '08', 'ABDUL', SYSDATE, '10.6.100.63');</v>
      </c>
      <c r="AI90" s="12" t="str">
        <f t="shared" si="40"/>
        <v>INSERT INTO sy_perm_list (USER_CD, OPT_CD, ACCESS_TYPE, BRANCH_CODE, CLASS_CODE, ENT_BY, ENT_DATE, ENT_BY_IP)</v>
      </c>
      <c r="AJ90" s="12" t="str">
        <f t="shared" si="41"/>
        <v>VALUES('08801293','IpdClaim.aspx', 'USER', '01', '08', 'ABDUL', SYSDATE, '10.6.100.63');</v>
      </c>
      <c r="AK90" s="12" t="str">
        <f t="shared" si="42"/>
        <v>INSERT INTO sy_perm_list (USER_CD, OPT_CD, ACCESS_TYPE, BRANCH_CODE, CLASS_CODE, ENT_BY, ENT_DATE, ENT_BY_IP)</v>
      </c>
      <c r="AL90" s="12" t="str">
        <f t="shared" si="43"/>
        <v>VALUES('08801293','OpdClaim.aspx', 'USER', '01', '08', 'ABDUL', SYSDATE, '10.6.100.63');</v>
      </c>
      <c r="AM90" s="12" t="str">
        <f t="shared" si="44"/>
        <v>INSERT INTO sy_perm_list (USER_CD, OPT_CD, ACCESS_TYPE, BRANCH_CODE, CLASS_CODE, ENT_BY, ENT_DATE, ENT_BY_IP)</v>
      </c>
      <c r="AN90" s="12" t="str">
        <f t="shared" si="45"/>
        <v>VALUES('08801293','RequestDetails.aspx', 'USER', '01', '08', 'ABDUL', SYSDATE, '10.6.100.63');</v>
      </c>
      <c r="AO90" s="12" t="str">
        <f t="shared" si="46"/>
        <v>INSERT INTO sy_perm_list (USER_CD, OPT_CD, ACCESS_TYPE, BRANCH_CODE, CLASS_CODE, ENT_BY, ENT_DATE, ENT_BY_IP)</v>
      </c>
      <c r="AP90" s="12" t="str">
        <f t="shared" si="47"/>
        <v>VALUES('08801293','TodaysRequest.aspx', 'USER', '01', '08', 'ABDUL', SYSDATE, '10.6.100.63');</v>
      </c>
    </row>
    <row r="91" spans="1:42" s="6" customFormat="1" ht="89.25" x14ac:dyDescent="0.2">
      <c r="A91" s="4">
        <v>76</v>
      </c>
      <c r="B91" s="5" t="s">
        <v>727</v>
      </c>
      <c r="C91" s="5">
        <v>9000266</v>
      </c>
      <c r="D91" s="6" t="s">
        <v>340</v>
      </c>
      <c r="E91" s="6" t="s">
        <v>314</v>
      </c>
      <c r="F91" s="5" t="s">
        <v>287</v>
      </c>
      <c r="G91" s="6" t="s">
        <v>288</v>
      </c>
      <c r="H91" s="5" t="s">
        <v>651</v>
      </c>
      <c r="I91" s="5">
        <v>597</v>
      </c>
      <c r="J91" s="5" t="s">
        <v>341</v>
      </c>
      <c r="K91" s="6" t="s">
        <v>342</v>
      </c>
      <c r="L91" s="6" t="s">
        <v>597</v>
      </c>
      <c r="M91" s="6" t="s">
        <v>598</v>
      </c>
      <c r="N91" s="7">
        <v>44074</v>
      </c>
      <c r="O91" s="7">
        <v>44022</v>
      </c>
      <c r="P91" s="7">
        <v>44386</v>
      </c>
      <c r="Q91" s="8">
        <v>108</v>
      </c>
      <c r="R91" s="8">
        <v>377</v>
      </c>
      <c r="S9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1" s="12" t="str">
        <f t="shared" si="25"/>
        <v>VALUES('08801387','INTERNATIONAL MEDICAL CORPS','Salaam@123','Y','N',sysdate,'016', 'C', 'Client', 'hwaqar@InternationalMedicalCorps.org','01','B', '08', 'ABDUL', sysdate, '10.6.100.63', '08801387');</v>
      </c>
      <c r="U91" s="12" t="str">
        <f t="shared" si="26"/>
        <v>INSERT INTO sy_user_branches (USER_CD, BRANCH_CODE, CLASS_CODE, ENT_BY, ENT_DATE, ENT_BY_IP)</v>
      </c>
      <c r="V91" s="12" t="str">
        <f t="shared" si="27"/>
        <v>values('08801387','01', '08', 'ABDUL', sysdate, '10.6.100.63');</v>
      </c>
      <c r="W91" s="12" t="str">
        <f t="shared" si="28"/>
        <v>INSERT INTO sy_perm_list (USER_CD, OPT_CD, ACCESS_TYPE, BRANCH_CODE, CLASS_CODE, ENT_BY, ENT_DATE, ENT_BY_IP)</v>
      </c>
      <c r="X91" s="12" t="str">
        <f t="shared" si="29"/>
        <v>VALUES('08801387','ClaimComments.aspx', 'USER', '01', '08', 'ABDUL', SYSDATE, '10.6.100.63');</v>
      </c>
      <c r="Y91" s="12" t="str">
        <f t="shared" si="30"/>
        <v>INSERT INTO sy_perm_list (USER_CD, OPT_CD, ACCESS_TYPE, BRANCH_CODE, CLASS_CODE, ENT_BY, ENT_DATE, ENT_BY_IP)</v>
      </c>
      <c r="Z91" s="12" t="str">
        <f t="shared" si="31"/>
        <v>VALUES('08801387','ClaimDocs.aspx', 'USER', '01', '08', 'ABDUL', SYSDATE, '10.6.100.63');</v>
      </c>
      <c r="AA91" s="12" t="str">
        <f t="shared" si="32"/>
        <v>INSERT INTO sy_perm_list (USER_CD, OPT_CD, ACCESS_TYPE, BRANCH_CODE, CLASS_CODE, ENT_BY, ENT_DATE, ENT_BY_IP)</v>
      </c>
      <c r="AB91" s="12" t="str">
        <f t="shared" si="33"/>
        <v>VALUES('08801387','Client.aspx', 'USER', '01', '08', 'ABDUL', SYSDATE, '10.6.100.63');</v>
      </c>
      <c r="AC91" s="12" t="str">
        <f t="shared" si="34"/>
        <v>INSERT INTO sy_perm_list (USER_CD, OPT_CD, ACCESS_TYPE, BRANCH_CODE, CLASS_CODE, ENT_BY, ENT_DATE, ENT_BY_IP)</v>
      </c>
      <c r="AD91" s="12" t="str">
        <f t="shared" si="35"/>
        <v>VALUES('08801387','ClientReports.aspx', 'USER', '01', '08', 'ABDUL', SYSDATE, '10.6.100.63');</v>
      </c>
      <c r="AE91" s="12" t="str">
        <f t="shared" si="36"/>
        <v>INSERT INTO sy_perm_list (USER_CD, OPT_CD, ACCESS_TYPE, BRANCH_CODE, CLASS_CODE, ENT_BY, ENT_DATE, ENT_BY_IP)</v>
      </c>
      <c r="AF91" s="12" t="str">
        <f t="shared" si="37"/>
        <v>VALUES('08801387','ClientRequests.aspx', 'USER', '01', '08', 'ABDUL', SYSDATE, '10.6.100.63');</v>
      </c>
      <c r="AG91" s="12" t="str">
        <f t="shared" si="38"/>
        <v>INSERT INTO sy_perm_list (USER_CD, OPT_CD, ACCESS_TYPE, BRANCH_CODE, CLASS_CODE, ENT_BY, ENT_DATE, ENT_BY_IP)</v>
      </c>
      <c r="AH91" s="12" t="str">
        <f t="shared" si="39"/>
        <v>VALUES('08801387','HealthLife.aspx', 'USER', '01', '08', 'ABDUL', SYSDATE, '10.6.100.63');</v>
      </c>
      <c r="AI91" s="12" t="str">
        <f t="shared" si="40"/>
        <v>INSERT INTO sy_perm_list (USER_CD, OPT_CD, ACCESS_TYPE, BRANCH_CODE, CLASS_CODE, ENT_BY, ENT_DATE, ENT_BY_IP)</v>
      </c>
      <c r="AJ91" s="12" t="str">
        <f t="shared" si="41"/>
        <v>VALUES('08801387','IpdClaim.aspx', 'USER', '01', '08', 'ABDUL', SYSDATE, '10.6.100.63');</v>
      </c>
      <c r="AK91" s="12" t="str">
        <f t="shared" si="42"/>
        <v>INSERT INTO sy_perm_list (USER_CD, OPT_CD, ACCESS_TYPE, BRANCH_CODE, CLASS_CODE, ENT_BY, ENT_DATE, ENT_BY_IP)</v>
      </c>
      <c r="AL91" s="12" t="str">
        <f t="shared" si="43"/>
        <v>VALUES('08801387','OpdClaim.aspx', 'USER', '01', '08', 'ABDUL', SYSDATE, '10.6.100.63');</v>
      </c>
      <c r="AM91" s="12" t="str">
        <f t="shared" si="44"/>
        <v>INSERT INTO sy_perm_list (USER_CD, OPT_CD, ACCESS_TYPE, BRANCH_CODE, CLASS_CODE, ENT_BY, ENT_DATE, ENT_BY_IP)</v>
      </c>
      <c r="AN91" s="12" t="str">
        <f t="shared" si="45"/>
        <v>VALUES('08801387','RequestDetails.aspx', 'USER', '01', '08', 'ABDUL', SYSDATE, '10.6.100.63');</v>
      </c>
      <c r="AO91" s="12" t="str">
        <f t="shared" si="46"/>
        <v>INSERT INTO sy_perm_list (USER_CD, OPT_CD, ACCESS_TYPE, BRANCH_CODE, CLASS_CODE, ENT_BY, ENT_DATE, ENT_BY_IP)</v>
      </c>
      <c r="AP91" s="12" t="str">
        <f t="shared" si="47"/>
        <v>VALUES('08801387','TodaysRequest.aspx', 'USER', '01', '08', 'ABDUL', SYSDATE, '10.6.100.63');</v>
      </c>
    </row>
    <row r="92" spans="1:42" s="6" customFormat="1" ht="76.5" x14ac:dyDescent="0.2">
      <c r="A92" s="4">
        <v>77</v>
      </c>
      <c r="B92" s="5" t="s">
        <v>728</v>
      </c>
      <c r="C92" s="5">
        <v>9000218</v>
      </c>
      <c r="D92" s="6" t="s">
        <v>310</v>
      </c>
      <c r="E92" s="6" t="s">
        <v>299</v>
      </c>
      <c r="F92" s="5" t="s">
        <v>287</v>
      </c>
      <c r="G92" s="6" t="s">
        <v>288</v>
      </c>
      <c r="H92" s="5" t="s">
        <v>649</v>
      </c>
      <c r="I92" s="5">
        <v>756</v>
      </c>
      <c r="J92" s="5" t="s">
        <v>472</v>
      </c>
      <c r="K92" s="6" t="s">
        <v>473</v>
      </c>
      <c r="L92" s="6" t="s">
        <v>166</v>
      </c>
      <c r="M92" s="6" t="s">
        <v>167</v>
      </c>
      <c r="N92" s="7">
        <v>44230</v>
      </c>
      <c r="O92" s="7">
        <v>44197</v>
      </c>
      <c r="P92" s="7">
        <v>44561</v>
      </c>
      <c r="Q92" s="8">
        <v>22</v>
      </c>
      <c r="R92" s="8">
        <v>74</v>
      </c>
      <c r="S9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2" s="12" t="str">
        <f t="shared" si="25"/>
        <v>VALUES('08800505','IO DIGITAL (PRIVATE) LIMITED','Salaam@123','Y','N',sysdate,'016', 'C', 'Client', 'abdul.rauf@i-o.digital ','01','B', '08', 'ABDUL', sysdate, '10.6.100.63', '08800505');</v>
      </c>
      <c r="U92" s="12" t="str">
        <f t="shared" si="26"/>
        <v>INSERT INTO sy_user_branches (USER_CD, BRANCH_CODE, CLASS_CODE, ENT_BY, ENT_DATE, ENT_BY_IP)</v>
      </c>
      <c r="V92" s="12" t="str">
        <f t="shared" si="27"/>
        <v>values('08800505','01', '08', 'ABDUL', sysdate, '10.6.100.63');</v>
      </c>
      <c r="W92" s="12" t="str">
        <f t="shared" si="28"/>
        <v>INSERT INTO sy_perm_list (USER_CD, OPT_CD, ACCESS_TYPE, BRANCH_CODE, CLASS_CODE, ENT_BY, ENT_DATE, ENT_BY_IP)</v>
      </c>
      <c r="X92" s="12" t="str">
        <f t="shared" si="29"/>
        <v>VALUES('08800505','ClaimComments.aspx', 'USER', '01', '08', 'ABDUL', SYSDATE, '10.6.100.63');</v>
      </c>
      <c r="Y92" s="12" t="str">
        <f t="shared" si="30"/>
        <v>INSERT INTO sy_perm_list (USER_CD, OPT_CD, ACCESS_TYPE, BRANCH_CODE, CLASS_CODE, ENT_BY, ENT_DATE, ENT_BY_IP)</v>
      </c>
      <c r="Z92" s="12" t="str">
        <f t="shared" si="31"/>
        <v>VALUES('08800505','ClaimDocs.aspx', 'USER', '01', '08', 'ABDUL', SYSDATE, '10.6.100.63');</v>
      </c>
      <c r="AA92" s="12" t="str">
        <f t="shared" si="32"/>
        <v>INSERT INTO sy_perm_list (USER_CD, OPT_CD, ACCESS_TYPE, BRANCH_CODE, CLASS_CODE, ENT_BY, ENT_DATE, ENT_BY_IP)</v>
      </c>
      <c r="AB92" s="12" t="str">
        <f t="shared" si="33"/>
        <v>VALUES('08800505','Client.aspx', 'USER', '01', '08', 'ABDUL', SYSDATE, '10.6.100.63');</v>
      </c>
      <c r="AC92" s="12" t="str">
        <f t="shared" si="34"/>
        <v>INSERT INTO sy_perm_list (USER_CD, OPT_CD, ACCESS_TYPE, BRANCH_CODE, CLASS_CODE, ENT_BY, ENT_DATE, ENT_BY_IP)</v>
      </c>
      <c r="AD92" s="12" t="str">
        <f t="shared" si="35"/>
        <v>VALUES('08800505','ClientReports.aspx', 'USER', '01', '08', 'ABDUL', SYSDATE, '10.6.100.63');</v>
      </c>
      <c r="AE92" s="12" t="str">
        <f t="shared" si="36"/>
        <v>INSERT INTO sy_perm_list (USER_CD, OPT_CD, ACCESS_TYPE, BRANCH_CODE, CLASS_CODE, ENT_BY, ENT_DATE, ENT_BY_IP)</v>
      </c>
      <c r="AF92" s="12" t="str">
        <f t="shared" si="37"/>
        <v>VALUES('08800505','ClientRequests.aspx', 'USER', '01', '08', 'ABDUL', SYSDATE, '10.6.100.63');</v>
      </c>
      <c r="AG92" s="12" t="str">
        <f t="shared" si="38"/>
        <v>INSERT INTO sy_perm_list (USER_CD, OPT_CD, ACCESS_TYPE, BRANCH_CODE, CLASS_CODE, ENT_BY, ENT_DATE, ENT_BY_IP)</v>
      </c>
      <c r="AH92" s="12" t="str">
        <f t="shared" si="39"/>
        <v>VALUES('08800505','HealthLife.aspx', 'USER', '01', '08', 'ABDUL', SYSDATE, '10.6.100.63');</v>
      </c>
      <c r="AI92" s="12" t="str">
        <f t="shared" si="40"/>
        <v>INSERT INTO sy_perm_list (USER_CD, OPT_CD, ACCESS_TYPE, BRANCH_CODE, CLASS_CODE, ENT_BY, ENT_DATE, ENT_BY_IP)</v>
      </c>
      <c r="AJ92" s="12" t="str">
        <f t="shared" si="41"/>
        <v>VALUES('08800505','IpdClaim.aspx', 'USER', '01', '08', 'ABDUL', SYSDATE, '10.6.100.63');</v>
      </c>
      <c r="AK92" s="12" t="str">
        <f t="shared" si="42"/>
        <v>INSERT INTO sy_perm_list (USER_CD, OPT_CD, ACCESS_TYPE, BRANCH_CODE, CLASS_CODE, ENT_BY, ENT_DATE, ENT_BY_IP)</v>
      </c>
      <c r="AL92" s="12" t="str">
        <f t="shared" si="43"/>
        <v>VALUES('08800505','OpdClaim.aspx', 'USER', '01', '08', 'ABDUL', SYSDATE, '10.6.100.63');</v>
      </c>
      <c r="AM92" s="12" t="str">
        <f t="shared" si="44"/>
        <v>INSERT INTO sy_perm_list (USER_CD, OPT_CD, ACCESS_TYPE, BRANCH_CODE, CLASS_CODE, ENT_BY, ENT_DATE, ENT_BY_IP)</v>
      </c>
      <c r="AN92" s="12" t="str">
        <f t="shared" si="45"/>
        <v>VALUES('08800505','RequestDetails.aspx', 'USER', '01', '08', 'ABDUL', SYSDATE, '10.6.100.63');</v>
      </c>
      <c r="AO92" s="12" t="str">
        <f t="shared" si="46"/>
        <v>INSERT INTO sy_perm_list (USER_CD, OPT_CD, ACCESS_TYPE, BRANCH_CODE, CLASS_CODE, ENT_BY, ENT_DATE, ENT_BY_IP)</v>
      </c>
      <c r="AP92" s="12" t="str">
        <f t="shared" si="47"/>
        <v>VALUES('08800505','TodaysRequest.aspx', 'USER', '01', '08', 'ABDUL', SYSDATE, '10.6.100.63');</v>
      </c>
    </row>
    <row r="93" spans="1:42" s="6" customFormat="1" ht="76.5" x14ac:dyDescent="0.2">
      <c r="A93" s="4">
        <v>78</v>
      </c>
      <c r="B93" s="5" t="s">
        <v>729</v>
      </c>
      <c r="C93" s="5">
        <v>9000221</v>
      </c>
      <c r="D93" s="6" t="s">
        <v>285</v>
      </c>
      <c r="E93" s="6" t="s">
        <v>286</v>
      </c>
      <c r="F93" s="5" t="s">
        <v>287</v>
      </c>
      <c r="G93" s="6" t="s">
        <v>288</v>
      </c>
      <c r="H93" s="5" t="s">
        <v>649</v>
      </c>
      <c r="I93" s="5">
        <v>599</v>
      </c>
      <c r="J93" s="5" t="s">
        <v>343</v>
      </c>
      <c r="K93" s="6" t="s">
        <v>69</v>
      </c>
      <c r="L93" s="6" t="s">
        <v>19</v>
      </c>
      <c r="M93" s="6" t="s">
        <v>113</v>
      </c>
      <c r="N93" s="7">
        <v>44075</v>
      </c>
      <c r="O93" s="7">
        <v>44075</v>
      </c>
      <c r="P93" s="7">
        <v>44439</v>
      </c>
      <c r="Q93" s="8">
        <v>200</v>
      </c>
      <c r="R93" s="8">
        <v>549</v>
      </c>
      <c r="S9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3" s="12" t="str">
        <f t="shared" si="25"/>
        <v>VALUES('08801488','ITECKNOLOGI TRACKING SERVICES (PVT) LIMITED','Salaam@123','Y','N',sysdate,'016', 'C', 'Client', 'humna.yousuf@itecknologi.com','01','B', '08', 'ABDUL', sysdate, '10.6.100.63', '08801488');</v>
      </c>
      <c r="U93" s="12" t="str">
        <f t="shared" si="26"/>
        <v>INSERT INTO sy_user_branches (USER_CD, BRANCH_CODE, CLASS_CODE, ENT_BY, ENT_DATE, ENT_BY_IP)</v>
      </c>
      <c r="V93" s="12" t="str">
        <f t="shared" si="27"/>
        <v>values('08801488','01', '08', 'ABDUL', sysdate, '10.6.100.63');</v>
      </c>
      <c r="W93" s="12" t="str">
        <f t="shared" si="28"/>
        <v>INSERT INTO sy_perm_list (USER_CD, OPT_CD, ACCESS_TYPE, BRANCH_CODE, CLASS_CODE, ENT_BY, ENT_DATE, ENT_BY_IP)</v>
      </c>
      <c r="X93" s="12" t="str">
        <f t="shared" si="29"/>
        <v>VALUES('08801488','ClaimComments.aspx', 'USER', '01', '08', 'ABDUL', SYSDATE, '10.6.100.63');</v>
      </c>
      <c r="Y93" s="12" t="str">
        <f t="shared" si="30"/>
        <v>INSERT INTO sy_perm_list (USER_CD, OPT_CD, ACCESS_TYPE, BRANCH_CODE, CLASS_CODE, ENT_BY, ENT_DATE, ENT_BY_IP)</v>
      </c>
      <c r="Z93" s="12" t="str">
        <f t="shared" si="31"/>
        <v>VALUES('08801488','ClaimDocs.aspx', 'USER', '01', '08', 'ABDUL', SYSDATE, '10.6.100.63');</v>
      </c>
      <c r="AA93" s="12" t="str">
        <f t="shared" si="32"/>
        <v>INSERT INTO sy_perm_list (USER_CD, OPT_CD, ACCESS_TYPE, BRANCH_CODE, CLASS_CODE, ENT_BY, ENT_DATE, ENT_BY_IP)</v>
      </c>
      <c r="AB93" s="12" t="str">
        <f t="shared" si="33"/>
        <v>VALUES('08801488','Client.aspx', 'USER', '01', '08', 'ABDUL', SYSDATE, '10.6.100.63');</v>
      </c>
      <c r="AC93" s="12" t="str">
        <f t="shared" si="34"/>
        <v>INSERT INTO sy_perm_list (USER_CD, OPT_CD, ACCESS_TYPE, BRANCH_CODE, CLASS_CODE, ENT_BY, ENT_DATE, ENT_BY_IP)</v>
      </c>
      <c r="AD93" s="12" t="str">
        <f t="shared" si="35"/>
        <v>VALUES('08801488','ClientReports.aspx', 'USER', '01', '08', 'ABDUL', SYSDATE, '10.6.100.63');</v>
      </c>
      <c r="AE93" s="12" t="str">
        <f t="shared" si="36"/>
        <v>INSERT INTO sy_perm_list (USER_CD, OPT_CD, ACCESS_TYPE, BRANCH_CODE, CLASS_CODE, ENT_BY, ENT_DATE, ENT_BY_IP)</v>
      </c>
      <c r="AF93" s="12" t="str">
        <f t="shared" si="37"/>
        <v>VALUES('08801488','ClientRequests.aspx', 'USER', '01', '08', 'ABDUL', SYSDATE, '10.6.100.63');</v>
      </c>
      <c r="AG93" s="12" t="str">
        <f t="shared" si="38"/>
        <v>INSERT INTO sy_perm_list (USER_CD, OPT_CD, ACCESS_TYPE, BRANCH_CODE, CLASS_CODE, ENT_BY, ENT_DATE, ENT_BY_IP)</v>
      </c>
      <c r="AH93" s="12" t="str">
        <f t="shared" si="39"/>
        <v>VALUES('08801488','HealthLife.aspx', 'USER', '01', '08', 'ABDUL', SYSDATE, '10.6.100.63');</v>
      </c>
      <c r="AI93" s="12" t="str">
        <f t="shared" si="40"/>
        <v>INSERT INTO sy_perm_list (USER_CD, OPT_CD, ACCESS_TYPE, BRANCH_CODE, CLASS_CODE, ENT_BY, ENT_DATE, ENT_BY_IP)</v>
      </c>
      <c r="AJ93" s="12" t="str">
        <f t="shared" si="41"/>
        <v>VALUES('08801488','IpdClaim.aspx', 'USER', '01', '08', 'ABDUL', SYSDATE, '10.6.100.63');</v>
      </c>
      <c r="AK93" s="12" t="str">
        <f t="shared" si="42"/>
        <v>INSERT INTO sy_perm_list (USER_CD, OPT_CD, ACCESS_TYPE, BRANCH_CODE, CLASS_CODE, ENT_BY, ENT_DATE, ENT_BY_IP)</v>
      </c>
      <c r="AL93" s="12" t="str">
        <f t="shared" si="43"/>
        <v>VALUES('08801488','OpdClaim.aspx', 'USER', '01', '08', 'ABDUL', SYSDATE, '10.6.100.63');</v>
      </c>
      <c r="AM93" s="12" t="str">
        <f t="shared" si="44"/>
        <v>INSERT INTO sy_perm_list (USER_CD, OPT_CD, ACCESS_TYPE, BRANCH_CODE, CLASS_CODE, ENT_BY, ENT_DATE, ENT_BY_IP)</v>
      </c>
      <c r="AN93" s="12" t="str">
        <f t="shared" si="45"/>
        <v>VALUES('08801488','RequestDetails.aspx', 'USER', '01', '08', 'ABDUL', SYSDATE, '10.6.100.63');</v>
      </c>
      <c r="AO93" s="12" t="str">
        <f t="shared" si="46"/>
        <v>INSERT INTO sy_perm_list (USER_CD, OPT_CD, ACCESS_TYPE, BRANCH_CODE, CLASS_CODE, ENT_BY, ENT_DATE, ENT_BY_IP)</v>
      </c>
      <c r="AP93" s="12" t="str">
        <f t="shared" si="47"/>
        <v>VALUES('08801488','TodaysRequest.aspx', 'USER', '01', '08', 'ABDUL', SYSDATE, '10.6.100.63');</v>
      </c>
    </row>
    <row r="94" spans="1:42" s="6" customFormat="1" ht="89.25" x14ac:dyDescent="0.2">
      <c r="A94" s="4">
        <v>79</v>
      </c>
      <c r="B94" s="5" t="s">
        <v>730</v>
      </c>
      <c r="C94" s="5">
        <v>9000266</v>
      </c>
      <c r="D94" s="6" t="s">
        <v>340</v>
      </c>
      <c r="E94" s="6" t="s">
        <v>314</v>
      </c>
      <c r="F94" s="5" t="s">
        <v>287</v>
      </c>
      <c r="G94" s="6" t="s">
        <v>288</v>
      </c>
      <c r="H94" s="5" t="s">
        <v>649</v>
      </c>
      <c r="I94" s="5">
        <v>705</v>
      </c>
      <c r="J94" s="5" t="s">
        <v>417</v>
      </c>
      <c r="K94" s="6" t="s">
        <v>192</v>
      </c>
      <c r="L94" s="6" t="s">
        <v>193</v>
      </c>
      <c r="M94" s="6" t="s">
        <v>194</v>
      </c>
      <c r="N94" s="7">
        <v>44194</v>
      </c>
      <c r="O94" s="7">
        <v>44196</v>
      </c>
      <c r="P94" s="7">
        <v>44561</v>
      </c>
      <c r="Q94" s="8">
        <v>20</v>
      </c>
      <c r="R94" s="8">
        <v>66</v>
      </c>
      <c r="S9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4" s="12" t="str">
        <f t="shared" si="25"/>
        <v>VALUES('08801084','JHIMPIR POWER (PRIVATE) LIMITED','Salaam@123','Y','N',sysdate,'016', 'C', 'Client', 'muhammad.farhan@uniqueinsurancebrokers.com','01','B', '08', 'ABDUL', sysdate, '10.6.100.63', '08801084');</v>
      </c>
      <c r="U94" s="12" t="str">
        <f t="shared" si="26"/>
        <v>INSERT INTO sy_user_branches (USER_CD, BRANCH_CODE, CLASS_CODE, ENT_BY, ENT_DATE, ENT_BY_IP)</v>
      </c>
      <c r="V94" s="12" t="str">
        <f t="shared" si="27"/>
        <v>values('08801084','01', '08', 'ABDUL', sysdate, '10.6.100.63');</v>
      </c>
      <c r="W94" s="12" t="str">
        <f t="shared" si="28"/>
        <v>INSERT INTO sy_perm_list (USER_CD, OPT_CD, ACCESS_TYPE, BRANCH_CODE, CLASS_CODE, ENT_BY, ENT_DATE, ENT_BY_IP)</v>
      </c>
      <c r="X94" s="12" t="str">
        <f t="shared" si="29"/>
        <v>VALUES('08801084','ClaimComments.aspx', 'USER', '01', '08', 'ABDUL', SYSDATE, '10.6.100.63');</v>
      </c>
      <c r="Y94" s="12" t="str">
        <f t="shared" si="30"/>
        <v>INSERT INTO sy_perm_list (USER_CD, OPT_CD, ACCESS_TYPE, BRANCH_CODE, CLASS_CODE, ENT_BY, ENT_DATE, ENT_BY_IP)</v>
      </c>
      <c r="Z94" s="12" t="str">
        <f t="shared" si="31"/>
        <v>VALUES('08801084','ClaimDocs.aspx', 'USER', '01', '08', 'ABDUL', SYSDATE, '10.6.100.63');</v>
      </c>
      <c r="AA94" s="12" t="str">
        <f t="shared" si="32"/>
        <v>INSERT INTO sy_perm_list (USER_CD, OPT_CD, ACCESS_TYPE, BRANCH_CODE, CLASS_CODE, ENT_BY, ENT_DATE, ENT_BY_IP)</v>
      </c>
      <c r="AB94" s="12" t="str">
        <f t="shared" si="33"/>
        <v>VALUES('08801084','Client.aspx', 'USER', '01', '08', 'ABDUL', SYSDATE, '10.6.100.63');</v>
      </c>
      <c r="AC94" s="12" t="str">
        <f t="shared" si="34"/>
        <v>INSERT INTO sy_perm_list (USER_CD, OPT_CD, ACCESS_TYPE, BRANCH_CODE, CLASS_CODE, ENT_BY, ENT_DATE, ENT_BY_IP)</v>
      </c>
      <c r="AD94" s="12" t="str">
        <f t="shared" si="35"/>
        <v>VALUES('08801084','ClientReports.aspx', 'USER', '01', '08', 'ABDUL', SYSDATE, '10.6.100.63');</v>
      </c>
      <c r="AE94" s="12" t="str">
        <f t="shared" si="36"/>
        <v>INSERT INTO sy_perm_list (USER_CD, OPT_CD, ACCESS_TYPE, BRANCH_CODE, CLASS_CODE, ENT_BY, ENT_DATE, ENT_BY_IP)</v>
      </c>
      <c r="AF94" s="12" t="str">
        <f t="shared" si="37"/>
        <v>VALUES('08801084','ClientRequests.aspx', 'USER', '01', '08', 'ABDUL', SYSDATE, '10.6.100.63');</v>
      </c>
      <c r="AG94" s="12" t="str">
        <f t="shared" si="38"/>
        <v>INSERT INTO sy_perm_list (USER_CD, OPT_CD, ACCESS_TYPE, BRANCH_CODE, CLASS_CODE, ENT_BY, ENT_DATE, ENT_BY_IP)</v>
      </c>
      <c r="AH94" s="12" t="str">
        <f t="shared" si="39"/>
        <v>VALUES('08801084','HealthLife.aspx', 'USER', '01', '08', 'ABDUL', SYSDATE, '10.6.100.63');</v>
      </c>
      <c r="AI94" s="12" t="str">
        <f t="shared" si="40"/>
        <v>INSERT INTO sy_perm_list (USER_CD, OPT_CD, ACCESS_TYPE, BRANCH_CODE, CLASS_CODE, ENT_BY, ENT_DATE, ENT_BY_IP)</v>
      </c>
      <c r="AJ94" s="12" t="str">
        <f t="shared" si="41"/>
        <v>VALUES('08801084','IpdClaim.aspx', 'USER', '01', '08', 'ABDUL', SYSDATE, '10.6.100.63');</v>
      </c>
      <c r="AK94" s="12" t="str">
        <f t="shared" si="42"/>
        <v>INSERT INTO sy_perm_list (USER_CD, OPT_CD, ACCESS_TYPE, BRANCH_CODE, CLASS_CODE, ENT_BY, ENT_DATE, ENT_BY_IP)</v>
      </c>
      <c r="AL94" s="12" t="str">
        <f t="shared" si="43"/>
        <v>VALUES('08801084','OpdClaim.aspx', 'USER', '01', '08', 'ABDUL', SYSDATE, '10.6.100.63');</v>
      </c>
      <c r="AM94" s="12" t="str">
        <f t="shared" si="44"/>
        <v>INSERT INTO sy_perm_list (USER_CD, OPT_CD, ACCESS_TYPE, BRANCH_CODE, CLASS_CODE, ENT_BY, ENT_DATE, ENT_BY_IP)</v>
      </c>
      <c r="AN94" s="12" t="str">
        <f t="shared" si="45"/>
        <v>VALUES('08801084','RequestDetails.aspx', 'USER', '01', '08', 'ABDUL', SYSDATE, '10.6.100.63');</v>
      </c>
      <c r="AO94" s="12" t="str">
        <f t="shared" si="46"/>
        <v>INSERT INTO sy_perm_list (USER_CD, OPT_CD, ACCESS_TYPE, BRANCH_CODE, CLASS_CODE, ENT_BY, ENT_DATE, ENT_BY_IP)</v>
      </c>
      <c r="AP94" s="12" t="str">
        <f t="shared" si="47"/>
        <v>VALUES('08801084','TodaysRequest.aspx', 'USER', '01', '08', 'ABDUL', SYSDATE, '10.6.100.63');</v>
      </c>
    </row>
    <row r="95" spans="1:42" s="6" customFormat="1" ht="76.5" x14ac:dyDescent="0.2">
      <c r="A95" s="4">
        <v>80</v>
      </c>
      <c r="B95" s="5" t="s">
        <v>731</v>
      </c>
      <c r="C95" s="5">
        <v>9000241</v>
      </c>
      <c r="D95" s="6" t="s">
        <v>296</v>
      </c>
      <c r="E95" s="6" t="s">
        <v>290</v>
      </c>
      <c r="F95" s="5" t="s">
        <v>287</v>
      </c>
      <c r="G95" s="6" t="s">
        <v>288</v>
      </c>
      <c r="H95" s="5" t="s">
        <v>649</v>
      </c>
      <c r="I95" s="5">
        <v>782</v>
      </c>
      <c r="J95" s="5" t="s">
        <v>503</v>
      </c>
      <c r="K95" s="6" t="s">
        <v>504</v>
      </c>
      <c r="L95" s="6" t="s">
        <v>127</v>
      </c>
      <c r="M95" s="6" t="s">
        <v>128</v>
      </c>
      <c r="N95" s="7">
        <v>44247</v>
      </c>
      <c r="O95" s="7">
        <v>44228</v>
      </c>
      <c r="P95" s="7">
        <v>44592</v>
      </c>
      <c r="Q95" s="8">
        <v>24</v>
      </c>
      <c r="R95" s="8">
        <v>24</v>
      </c>
      <c r="S95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5" s="12" t="str">
        <f t="shared" si="25"/>
        <v>VALUES('08801292','JINNAH POLYTECHNIC INSTITUTE','Salaam@123','Y','N',sysdate,'016', 'C', 'Client', 'jpi1961@hotmail.com','01','B', '08', 'ABDUL', sysdate, '10.6.100.63', '08801292');</v>
      </c>
      <c r="U95" s="12" t="str">
        <f t="shared" si="26"/>
        <v>INSERT INTO sy_user_branches (USER_CD, BRANCH_CODE, CLASS_CODE, ENT_BY, ENT_DATE, ENT_BY_IP)</v>
      </c>
      <c r="V95" s="12" t="str">
        <f t="shared" si="27"/>
        <v>values('08801292','01', '08', 'ABDUL', sysdate, '10.6.100.63');</v>
      </c>
      <c r="W95" s="12" t="str">
        <f t="shared" si="28"/>
        <v>INSERT INTO sy_perm_list (USER_CD, OPT_CD, ACCESS_TYPE, BRANCH_CODE, CLASS_CODE, ENT_BY, ENT_DATE, ENT_BY_IP)</v>
      </c>
      <c r="X95" s="12" t="str">
        <f t="shared" si="29"/>
        <v>VALUES('08801292','ClaimComments.aspx', 'USER', '01', '08', 'ABDUL', SYSDATE, '10.6.100.63');</v>
      </c>
      <c r="Y95" s="12" t="str">
        <f t="shared" si="30"/>
        <v>INSERT INTO sy_perm_list (USER_CD, OPT_CD, ACCESS_TYPE, BRANCH_CODE, CLASS_CODE, ENT_BY, ENT_DATE, ENT_BY_IP)</v>
      </c>
      <c r="Z95" s="12" t="str">
        <f t="shared" si="31"/>
        <v>VALUES('08801292','ClaimDocs.aspx', 'USER', '01', '08', 'ABDUL', SYSDATE, '10.6.100.63');</v>
      </c>
      <c r="AA95" s="12" t="str">
        <f t="shared" si="32"/>
        <v>INSERT INTO sy_perm_list (USER_CD, OPT_CD, ACCESS_TYPE, BRANCH_CODE, CLASS_CODE, ENT_BY, ENT_DATE, ENT_BY_IP)</v>
      </c>
      <c r="AB95" s="12" t="str">
        <f t="shared" si="33"/>
        <v>VALUES('08801292','Client.aspx', 'USER', '01', '08', 'ABDUL', SYSDATE, '10.6.100.63');</v>
      </c>
      <c r="AC95" s="12" t="str">
        <f t="shared" si="34"/>
        <v>INSERT INTO sy_perm_list (USER_CD, OPT_CD, ACCESS_TYPE, BRANCH_CODE, CLASS_CODE, ENT_BY, ENT_DATE, ENT_BY_IP)</v>
      </c>
      <c r="AD95" s="12" t="str">
        <f t="shared" si="35"/>
        <v>VALUES('08801292','ClientReports.aspx', 'USER', '01', '08', 'ABDUL', SYSDATE, '10.6.100.63');</v>
      </c>
      <c r="AE95" s="12" t="str">
        <f t="shared" si="36"/>
        <v>INSERT INTO sy_perm_list (USER_CD, OPT_CD, ACCESS_TYPE, BRANCH_CODE, CLASS_CODE, ENT_BY, ENT_DATE, ENT_BY_IP)</v>
      </c>
      <c r="AF95" s="12" t="str">
        <f t="shared" si="37"/>
        <v>VALUES('08801292','ClientRequests.aspx', 'USER', '01', '08', 'ABDUL', SYSDATE, '10.6.100.63');</v>
      </c>
      <c r="AG95" s="12" t="str">
        <f t="shared" si="38"/>
        <v>INSERT INTO sy_perm_list (USER_CD, OPT_CD, ACCESS_TYPE, BRANCH_CODE, CLASS_CODE, ENT_BY, ENT_DATE, ENT_BY_IP)</v>
      </c>
      <c r="AH95" s="12" t="str">
        <f t="shared" si="39"/>
        <v>VALUES('08801292','HealthLife.aspx', 'USER', '01', '08', 'ABDUL', SYSDATE, '10.6.100.63');</v>
      </c>
      <c r="AI95" s="12" t="str">
        <f t="shared" si="40"/>
        <v>INSERT INTO sy_perm_list (USER_CD, OPT_CD, ACCESS_TYPE, BRANCH_CODE, CLASS_CODE, ENT_BY, ENT_DATE, ENT_BY_IP)</v>
      </c>
      <c r="AJ95" s="12" t="str">
        <f t="shared" si="41"/>
        <v>VALUES('08801292','IpdClaim.aspx', 'USER', '01', '08', 'ABDUL', SYSDATE, '10.6.100.63');</v>
      </c>
      <c r="AK95" s="12" t="str">
        <f t="shared" si="42"/>
        <v>INSERT INTO sy_perm_list (USER_CD, OPT_CD, ACCESS_TYPE, BRANCH_CODE, CLASS_CODE, ENT_BY, ENT_DATE, ENT_BY_IP)</v>
      </c>
      <c r="AL95" s="12" t="str">
        <f t="shared" si="43"/>
        <v>VALUES('08801292','OpdClaim.aspx', 'USER', '01', '08', 'ABDUL', SYSDATE, '10.6.100.63');</v>
      </c>
      <c r="AM95" s="12" t="str">
        <f t="shared" si="44"/>
        <v>INSERT INTO sy_perm_list (USER_CD, OPT_CD, ACCESS_TYPE, BRANCH_CODE, CLASS_CODE, ENT_BY, ENT_DATE, ENT_BY_IP)</v>
      </c>
      <c r="AN95" s="12" t="str">
        <f t="shared" si="45"/>
        <v>VALUES('08801292','RequestDetails.aspx', 'USER', '01', '08', 'ABDUL', SYSDATE, '10.6.100.63');</v>
      </c>
      <c r="AO95" s="12" t="str">
        <f t="shared" si="46"/>
        <v>INSERT INTO sy_perm_list (USER_CD, OPT_CD, ACCESS_TYPE, BRANCH_CODE, CLASS_CODE, ENT_BY, ENT_DATE, ENT_BY_IP)</v>
      </c>
      <c r="AP95" s="12" t="str">
        <f t="shared" si="47"/>
        <v>VALUES('08801292','TodaysRequest.aspx', 'USER', '01', '08', 'ABDUL', SYSDATE, '10.6.100.63');</v>
      </c>
    </row>
    <row r="96" spans="1:42" s="6" customFormat="1" ht="76.5" x14ac:dyDescent="0.2">
      <c r="A96" s="4">
        <v>81</v>
      </c>
      <c r="B96" s="5" t="s">
        <v>732</v>
      </c>
      <c r="C96" s="5">
        <v>9000241</v>
      </c>
      <c r="D96" s="6" t="s">
        <v>296</v>
      </c>
      <c r="E96" s="6" t="s">
        <v>290</v>
      </c>
      <c r="F96" s="5" t="s">
        <v>287</v>
      </c>
      <c r="G96" s="6" t="s">
        <v>288</v>
      </c>
      <c r="H96" s="5" t="s">
        <v>649</v>
      </c>
      <c r="I96" s="5">
        <v>570</v>
      </c>
      <c r="J96" s="5" t="s">
        <v>321</v>
      </c>
      <c r="K96" s="6" t="s">
        <v>35</v>
      </c>
      <c r="L96" s="6" t="s">
        <v>36</v>
      </c>
      <c r="M96" s="6" t="s">
        <v>37</v>
      </c>
      <c r="N96" s="7">
        <v>44029</v>
      </c>
      <c r="O96" s="7">
        <v>44013</v>
      </c>
      <c r="P96" s="7">
        <v>44377</v>
      </c>
      <c r="Q96" s="8">
        <v>215</v>
      </c>
      <c r="R96" s="8">
        <v>215</v>
      </c>
      <c r="S96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6" s="12" t="str">
        <f t="shared" si="25"/>
        <v>VALUES('08801381','JINNAH UNIVERSITY FOR WOMEN','Salaam@123','Y','N',sysdate,'016', 'C', 'Client', 'finance@juw.edu.pk','01','B', '08', 'ABDUL', sysdate, '10.6.100.63', '08801381');</v>
      </c>
      <c r="U96" s="12" t="str">
        <f t="shared" si="26"/>
        <v>INSERT INTO sy_user_branches (USER_CD, BRANCH_CODE, CLASS_CODE, ENT_BY, ENT_DATE, ENT_BY_IP)</v>
      </c>
      <c r="V96" s="12" t="str">
        <f t="shared" si="27"/>
        <v>values('08801381','01', '08', 'ABDUL', sysdate, '10.6.100.63');</v>
      </c>
      <c r="W96" s="12" t="str">
        <f t="shared" si="28"/>
        <v>INSERT INTO sy_perm_list (USER_CD, OPT_CD, ACCESS_TYPE, BRANCH_CODE, CLASS_CODE, ENT_BY, ENT_DATE, ENT_BY_IP)</v>
      </c>
      <c r="X96" s="12" t="str">
        <f t="shared" si="29"/>
        <v>VALUES('08801381','ClaimComments.aspx', 'USER', '01', '08', 'ABDUL', SYSDATE, '10.6.100.63');</v>
      </c>
      <c r="Y96" s="12" t="str">
        <f t="shared" si="30"/>
        <v>INSERT INTO sy_perm_list (USER_CD, OPT_CD, ACCESS_TYPE, BRANCH_CODE, CLASS_CODE, ENT_BY, ENT_DATE, ENT_BY_IP)</v>
      </c>
      <c r="Z96" s="12" t="str">
        <f t="shared" si="31"/>
        <v>VALUES('08801381','ClaimDocs.aspx', 'USER', '01', '08', 'ABDUL', SYSDATE, '10.6.100.63');</v>
      </c>
      <c r="AA96" s="12" t="str">
        <f t="shared" si="32"/>
        <v>INSERT INTO sy_perm_list (USER_CD, OPT_CD, ACCESS_TYPE, BRANCH_CODE, CLASS_CODE, ENT_BY, ENT_DATE, ENT_BY_IP)</v>
      </c>
      <c r="AB96" s="12" t="str">
        <f t="shared" si="33"/>
        <v>VALUES('08801381','Client.aspx', 'USER', '01', '08', 'ABDUL', SYSDATE, '10.6.100.63');</v>
      </c>
      <c r="AC96" s="12" t="str">
        <f t="shared" si="34"/>
        <v>INSERT INTO sy_perm_list (USER_CD, OPT_CD, ACCESS_TYPE, BRANCH_CODE, CLASS_CODE, ENT_BY, ENT_DATE, ENT_BY_IP)</v>
      </c>
      <c r="AD96" s="12" t="str">
        <f t="shared" si="35"/>
        <v>VALUES('08801381','ClientReports.aspx', 'USER', '01', '08', 'ABDUL', SYSDATE, '10.6.100.63');</v>
      </c>
      <c r="AE96" s="12" t="str">
        <f t="shared" si="36"/>
        <v>INSERT INTO sy_perm_list (USER_CD, OPT_CD, ACCESS_TYPE, BRANCH_CODE, CLASS_CODE, ENT_BY, ENT_DATE, ENT_BY_IP)</v>
      </c>
      <c r="AF96" s="12" t="str">
        <f t="shared" si="37"/>
        <v>VALUES('08801381','ClientRequests.aspx', 'USER', '01', '08', 'ABDUL', SYSDATE, '10.6.100.63');</v>
      </c>
      <c r="AG96" s="12" t="str">
        <f t="shared" si="38"/>
        <v>INSERT INTO sy_perm_list (USER_CD, OPT_CD, ACCESS_TYPE, BRANCH_CODE, CLASS_CODE, ENT_BY, ENT_DATE, ENT_BY_IP)</v>
      </c>
      <c r="AH96" s="12" t="str">
        <f t="shared" si="39"/>
        <v>VALUES('08801381','HealthLife.aspx', 'USER', '01', '08', 'ABDUL', SYSDATE, '10.6.100.63');</v>
      </c>
      <c r="AI96" s="12" t="str">
        <f t="shared" si="40"/>
        <v>INSERT INTO sy_perm_list (USER_CD, OPT_CD, ACCESS_TYPE, BRANCH_CODE, CLASS_CODE, ENT_BY, ENT_DATE, ENT_BY_IP)</v>
      </c>
      <c r="AJ96" s="12" t="str">
        <f t="shared" si="41"/>
        <v>VALUES('08801381','IpdClaim.aspx', 'USER', '01', '08', 'ABDUL', SYSDATE, '10.6.100.63');</v>
      </c>
      <c r="AK96" s="12" t="str">
        <f t="shared" si="42"/>
        <v>INSERT INTO sy_perm_list (USER_CD, OPT_CD, ACCESS_TYPE, BRANCH_CODE, CLASS_CODE, ENT_BY, ENT_DATE, ENT_BY_IP)</v>
      </c>
      <c r="AL96" s="12" t="str">
        <f t="shared" si="43"/>
        <v>VALUES('08801381','OpdClaim.aspx', 'USER', '01', '08', 'ABDUL', SYSDATE, '10.6.100.63');</v>
      </c>
      <c r="AM96" s="12" t="str">
        <f t="shared" si="44"/>
        <v>INSERT INTO sy_perm_list (USER_CD, OPT_CD, ACCESS_TYPE, BRANCH_CODE, CLASS_CODE, ENT_BY, ENT_DATE, ENT_BY_IP)</v>
      </c>
      <c r="AN96" s="12" t="str">
        <f t="shared" si="45"/>
        <v>VALUES('08801381','RequestDetails.aspx', 'USER', '01', '08', 'ABDUL', SYSDATE, '10.6.100.63');</v>
      </c>
      <c r="AO96" s="12" t="str">
        <f t="shared" si="46"/>
        <v>INSERT INTO sy_perm_list (USER_CD, OPT_CD, ACCESS_TYPE, BRANCH_CODE, CLASS_CODE, ENT_BY, ENT_DATE, ENT_BY_IP)</v>
      </c>
      <c r="AP96" s="12" t="str">
        <f t="shared" si="47"/>
        <v>VALUES('08801381','TodaysRequest.aspx', 'USER', '01', '08', 'ABDUL', SYSDATE, '10.6.100.63');</v>
      </c>
    </row>
    <row r="97" spans="1:42" s="6" customFormat="1" ht="15" x14ac:dyDescent="0.25">
      <c r="A97" s="4"/>
      <c r="B97" s="5" t="s">
        <v>732</v>
      </c>
      <c r="C97" s="5">
        <v>9000241</v>
      </c>
      <c r="D97" s="6" t="s">
        <v>296</v>
      </c>
      <c r="E97" s="6" t="s">
        <v>290</v>
      </c>
      <c r="F97" s="5" t="s">
        <v>287</v>
      </c>
      <c r="G97" s="6" t="s">
        <v>288</v>
      </c>
      <c r="H97" s="5" t="s">
        <v>649</v>
      </c>
      <c r="I97" s="5">
        <v>570</v>
      </c>
      <c r="J97" s="36" t="s">
        <v>995</v>
      </c>
      <c r="K97" s="6" t="s">
        <v>35</v>
      </c>
      <c r="L97" s="6" t="s">
        <v>36</v>
      </c>
      <c r="M97" s="6" t="s">
        <v>37</v>
      </c>
      <c r="N97" s="7"/>
      <c r="O97" s="7"/>
      <c r="P97" s="7"/>
      <c r="Q97" s="8"/>
      <c r="R97" s="8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</row>
    <row r="98" spans="1:42" s="6" customFormat="1" ht="76.5" x14ac:dyDescent="0.2">
      <c r="A98" s="4">
        <v>82</v>
      </c>
      <c r="B98" s="5" t="s">
        <v>733</v>
      </c>
      <c r="C98" s="5">
        <v>9000267</v>
      </c>
      <c r="D98" s="6" t="s">
        <v>398</v>
      </c>
      <c r="E98" s="6" t="s">
        <v>314</v>
      </c>
      <c r="F98" s="5" t="s">
        <v>287</v>
      </c>
      <c r="G98" s="6" t="s">
        <v>288</v>
      </c>
      <c r="H98" s="5" t="s">
        <v>649</v>
      </c>
      <c r="I98" s="5">
        <v>675</v>
      </c>
      <c r="J98" s="5" t="s">
        <v>399</v>
      </c>
      <c r="K98" s="6" t="s">
        <v>80</v>
      </c>
      <c r="L98" s="6" t="s">
        <v>47</v>
      </c>
      <c r="M98" s="6" t="s">
        <v>48</v>
      </c>
      <c r="N98" s="7">
        <v>44165</v>
      </c>
      <c r="O98" s="7">
        <v>44136</v>
      </c>
      <c r="P98" s="7">
        <v>44500</v>
      </c>
      <c r="Q98" s="8">
        <v>57</v>
      </c>
      <c r="R98" s="8">
        <v>88</v>
      </c>
      <c r="S9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8" s="12" t="str">
        <f t="shared" si="25"/>
        <v>VALUES('08801648','KARACHI DOWN SYNDROME PROGRAM','Salaam@123','Y','N',sysdate,'016', 'C', 'Client', 'medicalhelp@tpi.com.pk','01','B', '08', 'ABDUL', sysdate, '10.6.100.63', '08801648');</v>
      </c>
      <c r="U98" s="12" t="str">
        <f t="shared" si="26"/>
        <v>INSERT INTO sy_user_branches (USER_CD, BRANCH_CODE, CLASS_CODE, ENT_BY, ENT_DATE, ENT_BY_IP)</v>
      </c>
      <c r="V98" s="12" t="str">
        <f t="shared" si="27"/>
        <v>values('08801648','01', '08', 'ABDUL', sysdate, '10.6.100.63');</v>
      </c>
      <c r="W98" s="12" t="str">
        <f t="shared" si="28"/>
        <v>INSERT INTO sy_perm_list (USER_CD, OPT_CD, ACCESS_TYPE, BRANCH_CODE, CLASS_CODE, ENT_BY, ENT_DATE, ENT_BY_IP)</v>
      </c>
      <c r="X98" s="12" t="str">
        <f t="shared" si="29"/>
        <v>VALUES('08801648','ClaimComments.aspx', 'USER', '01', '08', 'ABDUL', SYSDATE, '10.6.100.63');</v>
      </c>
      <c r="Y98" s="12" t="str">
        <f t="shared" si="30"/>
        <v>INSERT INTO sy_perm_list (USER_CD, OPT_CD, ACCESS_TYPE, BRANCH_CODE, CLASS_CODE, ENT_BY, ENT_DATE, ENT_BY_IP)</v>
      </c>
      <c r="Z98" s="12" t="str">
        <f t="shared" si="31"/>
        <v>VALUES('08801648','ClaimDocs.aspx', 'USER', '01', '08', 'ABDUL', SYSDATE, '10.6.100.63');</v>
      </c>
      <c r="AA98" s="12" t="str">
        <f t="shared" si="32"/>
        <v>INSERT INTO sy_perm_list (USER_CD, OPT_CD, ACCESS_TYPE, BRANCH_CODE, CLASS_CODE, ENT_BY, ENT_DATE, ENT_BY_IP)</v>
      </c>
      <c r="AB98" s="12" t="str">
        <f t="shared" si="33"/>
        <v>VALUES('08801648','Client.aspx', 'USER', '01', '08', 'ABDUL', SYSDATE, '10.6.100.63');</v>
      </c>
      <c r="AC98" s="12" t="str">
        <f t="shared" si="34"/>
        <v>INSERT INTO sy_perm_list (USER_CD, OPT_CD, ACCESS_TYPE, BRANCH_CODE, CLASS_CODE, ENT_BY, ENT_DATE, ENT_BY_IP)</v>
      </c>
      <c r="AD98" s="12" t="str">
        <f t="shared" si="35"/>
        <v>VALUES('08801648','ClientReports.aspx', 'USER', '01', '08', 'ABDUL', SYSDATE, '10.6.100.63');</v>
      </c>
      <c r="AE98" s="12" t="str">
        <f t="shared" si="36"/>
        <v>INSERT INTO sy_perm_list (USER_CD, OPT_CD, ACCESS_TYPE, BRANCH_CODE, CLASS_CODE, ENT_BY, ENT_DATE, ENT_BY_IP)</v>
      </c>
      <c r="AF98" s="12" t="str">
        <f t="shared" si="37"/>
        <v>VALUES('08801648','ClientRequests.aspx', 'USER', '01', '08', 'ABDUL', SYSDATE, '10.6.100.63');</v>
      </c>
      <c r="AG98" s="12" t="str">
        <f t="shared" si="38"/>
        <v>INSERT INTO sy_perm_list (USER_CD, OPT_CD, ACCESS_TYPE, BRANCH_CODE, CLASS_CODE, ENT_BY, ENT_DATE, ENT_BY_IP)</v>
      </c>
      <c r="AH98" s="12" t="str">
        <f t="shared" si="39"/>
        <v>VALUES('08801648','HealthLife.aspx', 'USER', '01', '08', 'ABDUL', SYSDATE, '10.6.100.63');</v>
      </c>
      <c r="AI98" s="12" t="str">
        <f t="shared" si="40"/>
        <v>INSERT INTO sy_perm_list (USER_CD, OPT_CD, ACCESS_TYPE, BRANCH_CODE, CLASS_CODE, ENT_BY, ENT_DATE, ENT_BY_IP)</v>
      </c>
      <c r="AJ98" s="12" t="str">
        <f t="shared" si="41"/>
        <v>VALUES('08801648','IpdClaim.aspx', 'USER', '01', '08', 'ABDUL', SYSDATE, '10.6.100.63');</v>
      </c>
      <c r="AK98" s="12" t="str">
        <f t="shared" si="42"/>
        <v>INSERT INTO sy_perm_list (USER_CD, OPT_CD, ACCESS_TYPE, BRANCH_CODE, CLASS_CODE, ENT_BY, ENT_DATE, ENT_BY_IP)</v>
      </c>
      <c r="AL98" s="12" t="str">
        <f t="shared" si="43"/>
        <v>VALUES('08801648','OpdClaim.aspx', 'USER', '01', '08', 'ABDUL', SYSDATE, '10.6.100.63');</v>
      </c>
      <c r="AM98" s="12" t="str">
        <f t="shared" si="44"/>
        <v>INSERT INTO sy_perm_list (USER_CD, OPT_CD, ACCESS_TYPE, BRANCH_CODE, CLASS_CODE, ENT_BY, ENT_DATE, ENT_BY_IP)</v>
      </c>
      <c r="AN98" s="12" t="str">
        <f t="shared" si="45"/>
        <v>VALUES('08801648','RequestDetails.aspx', 'USER', '01', '08', 'ABDUL', SYSDATE, '10.6.100.63');</v>
      </c>
      <c r="AO98" s="12" t="str">
        <f t="shared" si="46"/>
        <v>INSERT INTO sy_perm_list (USER_CD, OPT_CD, ACCESS_TYPE, BRANCH_CODE, CLASS_CODE, ENT_BY, ENT_DATE, ENT_BY_IP)</v>
      </c>
      <c r="AP98" s="12" t="str">
        <f t="shared" si="47"/>
        <v>VALUES('08801648','TodaysRequest.aspx', 'USER', '01', '08', 'ABDUL', SYSDATE, '10.6.100.63');</v>
      </c>
    </row>
    <row r="99" spans="1:42" s="6" customFormat="1" ht="76.5" x14ac:dyDescent="0.2">
      <c r="A99" s="4">
        <v>83</v>
      </c>
      <c r="B99" s="5" t="s">
        <v>734</v>
      </c>
      <c r="C99" s="5">
        <v>9000244</v>
      </c>
      <c r="D99" s="6" t="s">
        <v>337</v>
      </c>
      <c r="E99" s="6" t="s">
        <v>290</v>
      </c>
      <c r="F99" s="5" t="s">
        <v>287</v>
      </c>
      <c r="G99" s="6" t="s">
        <v>288</v>
      </c>
      <c r="H99" s="5" t="s">
        <v>649</v>
      </c>
      <c r="I99" s="5">
        <v>804</v>
      </c>
      <c r="J99" s="5" t="s">
        <v>528</v>
      </c>
      <c r="K99" s="6" t="s">
        <v>229</v>
      </c>
      <c r="L99" s="6" t="s">
        <v>230</v>
      </c>
      <c r="M99" s="6" t="s">
        <v>231</v>
      </c>
      <c r="N99" s="7">
        <v>44259</v>
      </c>
      <c r="O99" s="7">
        <v>44247</v>
      </c>
      <c r="P99" s="7">
        <v>44611</v>
      </c>
      <c r="Q99" s="8">
        <v>7</v>
      </c>
      <c r="R99" s="8">
        <v>18</v>
      </c>
      <c r="S99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99" s="12" t="str">
        <f t="shared" si="25"/>
        <v>VALUES('08801300','KAZIM TRUST','Salaam@123','Y','N',sysdate,'016', 'C', 'Client', 'info@kazimadhdtrust.org ','01','B', '08', 'ABDUL', sysdate, '10.6.100.63', '08801300');</v>
      </c>
      <c r="U99" s="12" t="str">
        <f t="shared" si="26"/>
        <v>INSERT INTO sy_user_branches (USER_CD, BRANCH_CODE, CLASS_CODE, ENT_BY, ENT_DATE, ENT_BY_IP)</v>
      </c>
      <c r="V99" s="12" t="str">
        <f t="shared" si="27"/>
        <v>values('08801300','01', '08', 'ABDUL', sysdate, '10.6.100.63');</v>
      </c>
      <c r="W99" s="12" t="str">
        <f t="shared" si="28"/>
        <v>INSERT INTO sy_perm_list (USER_CD, OPT_CD, ACCESS_TYPE, BRANCH_CODE, CLASS_CODE, ENT_BY, ENT_DATE, ENT_BY_IP)</v>
      </c>
      <c r="X99" s="12" t="str">
        <f t="shared" si="29"/>
        <v>VALUES('08801300','ClaimComments.aspx', 'USER', '01', '08', 'ABDUL', SYSDATE, '10.6.100.63');</v>
      </c>
      <c r="Y99" s="12" t="str">
        <f t="shared" si="30"/>
        <v>INSERT INTO sy_perm_list (USER_CD, OPT_CD, ACCESS_TYPE, BRANCH_CODE, CLASS_CODE, ENT_BY, ENT_DATE, ENT_BY_IP)</v>
      </c>
      <c r="Z99" s="12" t="str">
        <f t="shared" si="31"/>
        <v>VALUES('08801300','ClaimDocs.aspx', 'USER', '01', '08', 'ABDUL', SYSDATE, '10.6.100.63');</v>
      </c>
      <c r="AA99" s="12" t="str">
        <f t="shared" si="32"/>
        <v>INSERT INTO sy_perm_list (USER_CD, OPT_CD, ACCESS_TYPE, BRANCH_CODE, CLASS_CODE, ENT_BY, ENT_DATE, ENT_BY_IP)</v>
      </c>
      <c r="AB99" s="12" t="str">
        <f t="shared" si="33"/>
        <v>VALUES('08801300','Client.aspx', 'USER', '01', '08', 'ABDUL', SYSDATE, '10.6.100.63');</v>
      </c>
      <c r="AC99" s="12" t="str">
        <f t="shared" si="34"/>
        <v>INSERT INTO sy_perm_list (USER_CD, OPT_CD, ACCESS_TYPE, BRANCH_CODE, CLASS_CODE, ENT_BY, ENT_DATE, ENT_BY_IP)</v>
      </c>
      <c r="AD99" s="12" t="str">
        <f t="shared" si="35"/>
        <v>VALUES('08801300','ClientReports.aspx', 'USER', '01', '08', 'ABDUL', SYSDATE, '10.6.100.63');</v>
      </c>
      <c r="AE99" s="12" t="str">
        <f t="shared" si="36"/>
        <v>INSERT INTO sy_perm_list (USER_CD, OPT_CD, ACCESS_TYPE, BRANCH_CODE, CLASS_CODE, ENT_BY, ENT_DATE, ENT_BY_IP)</v>
      </c>
      <c r="AF99" s="12" t="str">
        <f t="shared" si="37"/>
        <v>VALUES('08801300','ClientRequests.aspx', 'USER', '01', '08', 'ABDUL', SYSDATE, '10.6.100.63');</v>
      </c>
      <c r="AG99" s="12" t="str">
        <f t="shared" si="38"/>
        <v>INSERT INTO sy_perm_list (USER_CD, OPT_CD, ACCESS_TYPE, BRANCH_CODE, CLASS_CODE, ENT_BY, ENT_DATE, ENT_BY_IP)</v>
      </c>
      <c r="AH99" s="12" t="str">
        <f t="shared" si="39"/>
        <v>VALUES('08801300','HealthLife.aspx', 'USER', '01', '08', 'ABDUL', SYSDATE, '10.6.100.63');</v>
      </c>
      <c r="AI99" s="12" t="str">
        <f t="shared" si="40"/>
        <v>INSERT INTO sy_perm_list (USER_CD, OPT_CD, ACCESS_TYPE, BRANCH_CODE, CLASS_CODE, ENT_BY, ENT_DATE, ENT_BY_IP)</v>
      </c>
      <c r="AJ99" s="12" t="str">
        <f t="shared" si="41"/>
        <v>VALUES('08801300','IpdClaim.aspx', 'USER', '01', '08', 'ABDUL', SYSDATE, '10.6.100.63');</v>
      </c>
      <c r="AK99" s="12" t="str">
        <f t="shared" si="42"/>
        <v>INSERT INTO sy_perm_list (USER_CD, OPT_CD, ACCESS_TYPE, BRANCH_CODE, CLASS_CODE, ENT_BY, ENT_DATE, ENT_BY_IP)</v>
      </c>
      <c r="AL99" s="12" t="str">
        <f t="shared" si="43"/>
        <v>VALUES('08801300','OpdClaim.aspx', 'USER', '01', '08', 'ABDUL', SYSDATE, '10.6.100.63');</v>
      </c>
      <c r="AM99" s="12" t="str">
        <f t="shared" si="44"/>
        <v>INSERT INTO sy_perm_list (USER_CD, OPT_CD, ACCESS_TYPE, BRANCH_CODE, CLASS_CODE, ENT_BY, ENT_DATE, ENT_BY_IP)</v>
      </c>
      <c r="AN99" s="12" t="str">
        <f t="shared" si="45"/>
        <v>VALUES('08801300','RequestDetails.aspx', 'USER', '01', '08', 'ABDUL', SYSDATE, '10.6.100.63');</v>
      </c>
      <c r="AO99" s="12" t="str">
        <f t="shared" si="46"/>
        <v>INSERT INTO sy_perm_list (USER_CD, OPT_CD, ACCESS_TYPE, BRANCH_CODE, CLASS_CODE, ENT_BY, ENT_DATE, ENT_BY_IP)</v>
      </c>
      <c r="AP99" s="12" t="str">
        <f t="shared" si="47"/>
        <v>VALUES('08801300','TodaysRequest.aspx', 'USER', '01', '08', 'ABDUL', SYSDATE, '10.6.100.63');</v>
      </c>
    </row>
    <row r="100" spans="1:42" s="6" customFormat="1" ht="76.5" x14ac:dyDescent="0.2">
      <c r="A100" s="4">
        <v>84</v>
      </c>
      <c r="B100" s="5" t="s">
        <v>735</v>
      </c>
      <c r="C100" s="5">
        <v>9000236</v>
      </c>
      <c r="D100" s="6" t="s">
        <v>329</v>
      </c>
      <c r="E100" s="6" t="s">
        <v>290</v>
      </c>
      <c r="F100" s="5" t="s">
        <v>287</v>
      </c>
      <c r="G100" s="6" t="s">
        <v>288</v>
      </c>
      <c r="H100" s="5" t="s">
        <v>651</v>
      </c>
      <c r="I100" s="5">
        <v>821</v>
      </c>
      <c r="J100" s="5" t="s">
        <v>554</v>
      </c>
      <c r="K100" s="6" t="s">
        <v>555</v>
      </c>
      <c r="L100" s="6" t="s">
        <v>599</v>
      </c>
      <c r="M100" s="6" t="s">
        <v>600</v>
      </c>
      <c r="N100" s="7">
        <v>44274</v>
      </c>
      <c r="O100" s="7">
        <v>44253</v>
      </c>
      <c r="P100" s="7">
        <v>44617</v>
      </c>
      <c r="Q100" s="8">
        <v>98</v>
      </c>
      <c r="R100" s="8">
        <v>454</v>
      </c>
      <c r="S10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0" s="12" t="str">
        <f t="shared" si="25"/>
        <v>VALUES('08801813','KHYBER PAKHTUNKHWA OIL AND GAS COMPANY LIMITED','Salaam@123','Y','N',sysdate,'016', 'C', 'Client', 'ceo@kpogcl.com.pk','01','B', '08', 'ABDUL', sysdate, '10.6.100.63', '08801813');</v>
      </c>
      <c r="U100" s="12" t="str">
        <f t="shared" si="26"/>
        <v>INSERT INTO sy_user_branches (USER_CD, BRANCH_CODE, CLASS_CODE, ENT_BY, ENT_DATE, ENT_BY_IP)</v>
      </c>
      <c r="V100" s="12" t="str">
        <f t="shared" si="27"/>
        <v>values('08801813','01', '08', 'ABDUL', sysdate, '10.6.100.63');</v>
      </c>
      <c r="W100" s="12" t="str">
        <f t="shared" si="28"/>
        <v>INSERT INTO sy_perm_list (USER_CD, OPT_CD, ACCESS_TYPE, BRANCH_CODE, CLASS_CODE, ENT_BY, ENT_DATE, ENT_BY_IP)</v>
      </c>
      <c r="X100" s="12" t="str">
        <f t="shared" si="29"/>
        <v>VALUES('08801813','ClaimComments.aspx', 'USER', '01', '08', 'ABDUL', SYSDATE, '10.6.100.63');</v>
      </c>
      <c r="Y100" s="12" t="str">
        <f t="shared" si="30"/>
        <v>INSERT INTO sy_perm_list (USER_CD, OPT_CD, ACCESS_TYPE, BRANCH_CODE, CLASS_CODE, ENT_BY, ENT_DATE, ENT_BY_IP)</v>
      </c>
      <c r="Z100" s="12" t="str">
        <f t="shared" si="31"/>
        <v>VALUES('08801813','ClaimDocs.aspx', 'USER', '01', '08', 'ABDUL', SYSDATE, '10.6.100.63');</v>
      </c>
      <c r="AA100" s="12" t="str">
        <f t="shared" si="32"/>
        <v>INSERT INTO sy_perm_list (USER_CD, OPT_CD, ACCESS_TYPE, BRANCH_CODE, CLASS_CODE, ENT_BY, ENT_DATE, ENT_BY_IP)</v>
      </c>
      <c r="AB100" s="12" t="str">
        <f t="shared" si="33"/>
        <v>VALUES('08801813','Client.aspx', 'USER', '01', '08', 'ABDUL', SYSDATE, '10.6.100.63');</v>
      </c>
      <c r="AC100" s="12" t="str">
        <f t="shared" si="34"/>
        <v>INSERT INTO sy_perm_list (USER_CD, OPT_CD, ACCESS_TYPE, BRANCH_CODE, CLASS_CODE, ENT_BY, ENT_DATE, ENT_BY_IP)</v>
      </c>
      <c r="AD100" s="12" t="str">
        <f t="shared" si="35"/>
        <v>VALUES('08801813','ClientReports.aspx', 'USER', '01', '08', 'ABDUL', SYSDATE, '10.6.100.63');</v>
      </c>
      <c r="AE100" s="12" t="str">
        <f t="shared" si="36"/>
        <v>INSERT INTO sy_perm_list (USER_CD, OPT_CD, ACCESS_TYPE, BRANCH_CODE, CLASS_CODE, ENT_BY, ENT_DATE, ENT_BY_IP)</v>
      </c>
      <c r="AF100" s="12" t="str">
        <f t="shared" si="37"/>
        <v>VALUES('08801813','ClientRequests.aspx', 'USER', '01', '08', 'ABDUL', SYSDATE, '10.6.100.63');</v>
      </c>
      <c r="AG100" s="12" t="str">
        <f t="shared" si="38"/>
        <v>INSERT INTO sy_perm_list (USER_CD, OPT_CD, ACCESS_TYPE, BRANCH_CODE, CLASS_CODE, ENT_BY, ENT_DATE, ENT_BY_IP)</v>
      </c>
      <c r="AH100" s="12" t="str">
        <f t="shared" si="39"/>
        <v>VALUES('08801813','HealthLife.aspx', 'USER', '01', '08', 'ABDUL', SYSDATE, '10.6.100.63');</v>
      </c>
      <c r="AI100" s="12" t="str">
        <f t="shared" si="40"/>
        <v>INSERT INTO sy_perm_list (USER_CD, OPT_CD, ACCESS_TYPE, BRANCH_CODE, CLASS_CODE, ENT_BY, ENT_DATE, ENT_BY_IP)</v>
      </c>
      <c r="AJ100" s="12" t="str">
        <f t="shared" si="41"/>
        <v>VALUES('08801813','IpdClaim.aspx', 'USER', '01', '08', 'ABDUL', SYSDATE, '10.6.100.63');</v>
      </c>
      <c r="AK100" s="12" t="str">
        <f t="shared" si="42"/>
        <v>INSERT INTO sy_perm_list (USER_CD, OPT_CD, ACCESS_TYPE, BRANCH_CODE, CLASS_CODE, ENT_BY, ENT_DATE, ENT_BY_IP)</v>
      </c>
      <c r="AL100" s="12" t="str">
        <f t="shared" si="43"/>
        <v>VALUES('08801813','OpdClaim.aspx', 'USER', '01', '08', 'ABDUL', SYSDATE, '10.6.100.63');</v>
      </c>
      <c r="AM100" s="12" t="str">
        <f t="shared" si="44"/>
        <v>INSERT INTO sy_perm_list (USER_CD, OPT_CD, ACCESS_TYPE, BRANCH_CODE, CLASS_CODE, ENT_BY, ENT_DATE, ENT_BY_IP)</v>
      </c>
      <c r="AN100" s="12" t="str">
        <f t="shared" si="45"/>
        <v>VALUES('08801813','RequestDetails.aspx', 'USER', '01', '08', 'ABDUL', SYSDATE, '10.6.100.63');</v>
      </c>
      <c r="AO100" s="12" t="str">
        <f t="shared" si="46"/>
        <v>INSERT INTO sy_perm_list (USER_CD, OPT_CD, ACCESS_TYPE, BRANCH_CODE, CLASS_CODE, ENT_BY, ENT_DATE, ENT_BY_IP)</v>
      </c>
      <c r="AP100" s="12" t="str">
        <f t="shared" si="47"/>
        <v>VALUES('08801813','TodaysRequest.aspx', 'USER', '01', '08', 'ABDUL', SYSDATE, '10.6.100.63');</v>
      </c>
    </row>
    <row r="101" spans="1:42" s="6" customFormat="1" ht="76.5" x14ac:dyDescent="0.2">
      <c r="A101" s="4">
        <v>85</v>
      </c>
      <c r="B101" s="5" t="s">
        <v>736</v>
      </c>
      <c r="C101" s="5">
        <v>9000236</v>
      </c>
      <c r="D101" s="6" t="s">
        <v>329</v>
      </c>
      <c r="E101" s="6" t="s">
        <v>290</v>
      </c>
      <c r="F101" s="5" t="s">
        <v>287</v>
      </c>
      <c r="G101" s="6" t="s">
        <v>288</v>
      </c>
      <c r="H101" s="5" t="s">
        <v>651</v>
      </c>
      <c r="I101" s="5">
        <v>589</v>
      </c>
      <c r="J101" s="5" t="s">
        <v>330</v>
      </c>
      <c r="K101" s="6" t="s">
        <v>820</v>
      </c>
      <c r="L101" s="6" t="s">
        <v>601</v>
      </c>
      <c r="M101" s="6" t="s">
        <v>602</v>
      </c>
      <c r="N101" s="7">
        <v>44050</v>
      </c>
      <c r="O101" s="7">
        <v>44013</v>
      </c>
      <c r="P101" s="7">
        <v>44377</v>
      </c>
      <c r="Q101" s="8">
        <v>238</v>
      </c>
      <c r="R101" s="8">
        <v>1204</v>
      </c>
      <c r="S10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1" s="12" t="str">
        <f t="shared" si="25"/>
        <v>VALUES('08801452','KPK DEVELOPMENT &amp; MANAGEMENT COMPANY','Salaam@123','Y','N',sysdate,'016', 'C', 'Client', 'mohsin.ali@kpezdmc.org.pk','01','B', '08', 'ABDUL', sysdate, '10.6.100.63', '08801452');</v>
      </c>
      <c r="U101" s="12" t="str">
        <f t="shared" si="26"/>
        <v>INSERT INTO sy_user_branches (USER_CD, BRANCH_CODE, CLASS_CODE, ENT_BY, ENT_DATE, ENT_BY_IP)</v>
      </c>
      <c r="V101" s="12" t="str">
        <f t="shared" si="27"/>
        <v>values('08801452','01', '08', 'ABDUL', sysdate, '10.6.100.63');</v>
      </c>
      <c r="W101" s="12" t="str">
        <f t="shared" si="28"/>
        <v>INSERT INTO sy_perm_list (USER_CD, OPT_CD, ACCESS_TYPE, BRANCH_CODE, CLASS_CODE, ENT_BY, ENT_DATE, ENT_BY_IP)</v>
      </c>
      <c r="X101" s="12" t="str">
        <f t="shared" si="29"/>
        <v>VALUES('08801452','ClaimComments.aspx', 'USER', '01', '08', 'ABDUL', SYSDATE, '10.6.100.63');</v>
      </c>
      <c r="Y101" s="12" t="str">
        <f t="shared" si="30"/>
        <v>INSERT INTO sy_perm_list (USER_CD, OPT_CD, ACCESS_TYPE, BRANCH_CODE, CLASS_CODE, ENT_BY, ENT_DATE, ENT_BY_IP)</v>
      </c>
      <c r="Z101" s="12" t="str">
        <f t="shared" si="31"/>
        <v>VALUES('08801452','ClaimDocs.aspx', 'USER', '01', '08', 'ABDUL', SYSDATE, '10.6.100.63');</v>
      </c>
      <c r="AA101" s="12" t="str">
        <f t="shared" si="32"/>
        <v>INSERT INTO sy_perm_list (USER_CD, OPT_CD, ACCESS_TYPE, BRANCH_CODE, CLASS_CODE, ENT_BY, ENT_DATE, ENT_BY_IP)</v>
      </c>
      <c r="AB101" s="12" t="str">
        <f t="shared" si="33"/>
        <v>VALUES('08801452','Client.aspx', 'USER', '01', '08', 'ABDUL', SYSDATE, '10.6.100.63');</v>
      </c>
      <c r="AC101" s="12" t="str">
        <f t="shared" si="34"/>
        <v>INSERT INTO sy_perm_list (USER_CD, OPT_CD, ACCESS_TYPE, BRANCH_CODE, CLASS_CODE, ENT_BY, ENT_DATE, ENT_BY_IP)</v>
      </c>
      <c r="AD101" s="12" t="str">
        <f t="shared" si="35"/>
        <v>VALUES('08801452','ClientReports.aspx', 'USER', '01', '08', 'ABDUL', SYSDATE, '10.6.100.63');</v>
      </c>
      <c r="AE101" s="12" t="str">
        <f t="shared" si="36"/>
        <v>INSERT INTO sy_perm_list (USER_CD, OPT_CD, ACCESS_TYPE, BRANCH_CODE, CLASS_CODE, ENT_BY, ENT_DATE, ENT_BY_IP)</v>
      </c>
      <c r="AF101" s="12" t="str">
        <f t="shared" si="37"/>
        <v>VALUES('08801452','ClientRequests.aspx', 'USER', '01', '08', 'ABDUL', SYSDATE, '10.6.100.63');</v>
      </c>
      <c r="AG101" s="12" t="str">
        <f t="shared" si="38"/>
        <v>INSERT INTO sy_perm_list (USER_CD, OPT_CD, ACCESS_TYPE, BRANCH_CODE, CLASS_CODE, ENT_BY, ENT_DATE, ENT_BY_IP)</v>
      </c>
      <c r="AH101" s="12" t="str">
        <f t="shared" si="39"/>
        <v>VALUES('08801452','HealthLife.aspx', 'USER', '01', '08', 'ABDUL', SYSDATE, '10.6.100.63');</v>
      </c>
      <c r="AI101" s="12" t="str">
        <f t="shared" si="40"/>
        <v>INSERT INTO sy_perm_list (USER_CD, OPT_CD, ACCESS_TYPE, BRANCH_CODE, CLASS_CODE, ENT_BY, ENT_DATE, ENT_BY_IP)</v>
      </c>
      <c r="AJ101" s="12" t="str">
        <f t="shared" si="41"/>
        <v>VALUES('08801452','IpdClaim.aspx', 'USER', '01', '08', 'ABDUL', SYSDATE, '10.6.100.63');</v>
      </c>
      <c r="AK101" s="12" t="str">
        <f t="shared" si="42"/>
        <v>INSERT INTO sy_perm_list (USER_CD, OPT_CD, ACCESS_TYPE, BRANCH_CODE, CLASS_CODE, ENT_BY, ENT_DATE, ENT_BY_IP)</v>
      </c>
      <c r="AL101" s="12" t="str">
        <f t="shared" si="43"/>
        <v>VALUES('08801452','OpdClaim.aspx', 'USER', '01', '08', 'ABDUL', SYSDATE, '10.6.100.63');</v>
      </c>
      <c r="AM101" s="12" t="str">
        <f t="shared" si="44"/>
        <v>INSERT INTO sy_perm_list (USER_CD, OPT_CD, ACCESS_TYPE, BRANCH_CODE, CLASS_CODE, ENT_BY, ENT_DATE, ENT_BY_IP)</v>
      </c>
      <c r="AN101" s="12" t="str">
        <f t="shared" si="45"/>
        <v>VALUES('08801452','RequestDetails.aspx', 'USER', '01', '08', 'ABDUL', SYSDATE, '10.6.100.63');</v>
      </c>
      <c r="AO101" s="12" t="str">
        <f t="shared" si="46"/>
        <v>INSERT INTO sy_perm_list (USER_CD, OPT_CD, ACCESS_TYPE, BRANCH_CODE, CLASS_CODE, ENT_BY, ENT_DATE, ENT_BY_IP)</v>
      </c>
      <c r="AP101" s="12" t="str">
        <f t="shared" si="47"/>
        <v>VALUES('08801452','TodaysRequest.aspx', 'USER', '01', '08', 'ABDUL', SYSDATE, '10.6.100.63');</v>
      </c>
    </row>
    <row r="102" spans="1:42" s="6" customFormat="1" ht="76.5" x14ac:dyDescent="0.2">
      <c r="A102" s="4">
        <v>86</v>
      </c>
      <c r="B102" s="5" t="s">
        <v>737</v>
      </c>
      <c r="C102" s="5">
        <v>9000241</v>
      </c>
      <c r="D102" s="6" t="s">
        <v>296</v>
      </c>
      <c r="E102" s="6" t="s">
        <v>290</v>
      </c>
      <c r="F102" s="5" t="s">
        <v>287</v>
      </c>
      <c r="G102" s="6" t="s">
        <v>288</v>
      </c>
      <c r="H102" s="5" t="s">
        <v>649</v>
      </c>
      <c r="I102" s="5">
        <v>579</v>
      </c>
      <c r="J102" s="5" t="s">
        <v>328</v>
      </c>
      <c r="K102" s="6" t="s">
        <v>1</v>
      </c>
      <c r="L102" s="6" t="s">
        <v>2</v>
      </c>
      <c r="M102" s="6" t="s">
        <v>3</v>
      </c>
      <c r="N102" s="7">
        <v>44041</v>
      </c>
      <c r="O102" s="7">
        <v>44013</v>
      </c>
      <c r="P102" s="7">
        <v>44377</v>
      </c>
      <c r="Q102" s="8">
        <v>5</v>
      </c>
      <c r="R102" s="8">
        <v>15</v>
      </c>
      <c r="S10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2" s="12" t="str">
        <f t="shared" si="25"/>
        <v>VALUES('08003224','KUWAIT PETROLEUM CORPORATION (FAR EAST) KSC','Salaam@123','Y','N',sysdate,'016', 'C', 'Client', 'm.ahmed@kpc.com.kw','01','B', '08', 'ABDUL', sysdate, '10.6.100.63', '08003224');</v>
      </c>
      <c r="U102" s="12" t="str">
        <f t="shared" si="26"/>
        <v>INSERT INTO sy_user_branches (USER_CD, BRANCH_CODE, CLASS_CODE, ENT_BY, ENT_DATE, ENT_BY_IP)</v>
      </c>
      <c r="V102" s="12" t="str">
        <f t="shared" si="27"/>
        <v>values('08003224','01', '08', 'ABDUL', sysdate, '10.6.100.63');</v>
      </c>
      <c r="W102" s="12" t="str">
        <f t="shared" si="28"/>
        <v>INSERT INTO sy_perm_list (USER_CD, OPT_CD, ACCESS_TYPE, BRANCH_CODE, CLASS_CODE, ENT_BY, ENT_DATE, ENT_BY_IP)</v>
      </c>
      <c r="X102" s="12" t="str">
        <f t="shared" si="29"/>
        <v>VALUES('08003224','ClaimComments.aspx', 'USER', '01', '08', 'ABDUL', SYSDATE, '10.6.100.63');</v>
      </c>
      <c r="Y102" s="12" t="str">
        <f t="shared" si="30"/>
        <v>INSERT INTO sy_perm_list (USER_CD, OPT_CD, ACCESS_TYPE, BRANCH_CODE, CLASS_CODE, ENT_BY, ENT_DATE, ENT_BY_IP)</v>
      </c>
      <c r="Z102" s="12" t="str">
        <f t="shared" si="31"/>
        <v>VALUES('08003224','ClaimDocs.aspx', 'USER', '01', '08', 'ABDUL', SYSDATE, '10.6.100.63');</v>
      </c>
      <c r="AA102" s="12" t="str">
        <f t="shared" si="32"/>
        <v>INSERT INTO sy_perm_list (USER_CD, OPT_CD, ACCESS_TYPE, BRANCH_CODE, CLASS_CODE, ENT_BY, ENT_DATE, ENT_BY_IP)</v>
      </c>
      <c r="AB102" s="12" t="str">
        <f t="shared" si="33"/>
        <v>VALUES('08003224','Client.aspx', 'USER', '01', '08', 'ABDUL', SYSDATE, '10.6.100.63');</v>
      </c>
      <c r="AC102" s="12" t="str">
        <f t="shared" si="34"/>
        <v>INSERT INTO sy_perm_list (USER_CD, OPT_CD, ACCESS_TYPE, BRANCH_CODE, CLASS_CODE, ENT_BY, ENT_DATE, ENT_BY_IP)</v>
      </c>
      <c r="AD102" s="12" t="str">
        <f t="shared" si="35"/>
        <v>VALUES('08003224','ClientReports.aspx', 'USER', '01', '08', 'ABDUL', SYSDATE, '10.6.100.63');</v>
      </c>
      <c r="AE102" s="12" t="str">
        <f t="shared" si="36"/>
        <v>INSERT INTO sy_perm_list (USER_CD, OPT_CD, ACCESS_TYPE, BRANCH_CODE, CLASS_CODE, ENT_BY, ENT_DATE, ENT_BY_IP)</v>
      </c>
      <c r="AF102" s="12" t="str">
        <f t="shared" si="37"/>
        <v>VALUES('08003224','ClientRequests.aspx', 'USER', '01', '08', 'ABDUL', SYSDATE, '10.6.100.63');</v>
      </c>
      <c r="AG102" s="12" t="str">
        <f t="shared" si="38"/>
        <v>INSERT INTO sy_perm_list (USER_CD, OPT_CD, ACCESS_TYPE, BRANCH_CODE, CLASS_CODE, ENT_BY, ENT_DATE, ENT_BY_IP)</v>
      </c>
      <c r="AH102" s="12" t="str">
        <f t="shared" si="39"/>
        <v>VALUES('08003224','HealthLife.aspx', 'USER', '01', '08', 'ABDUL', SYSDATE, '10.6.100.63');</v>
      </c>
      <c r="AI102" s="12" t="str">
        <f t="shared" si="40"/>
        <v>INSERT INTO sy_perm_list (USER_CD, OPT_CD, ACCESS_TYPE, BRANCH_CODE, CLASS_CODE, ENT_BY, ENT_DATE, ENT_BY_IP)</v>
      </c>
      <c r="AJ102" s="12" t="str">
        <f t="shared" si="41"/>
        <v>VALUES('08003224','IpdClaim.aspx', 'USER', '01', '08', 'ABDUL', SYSDATE, '10.6.100.63');</v>
      </c>
      <c r="AK102" s="12" t="str">
        <f t="shared" si="42"/>
        <v>INSERT INTO sy_perm_list (USER_CD, OPT_CD, ACCESS_TYPE, BRANCH_CODE, CLASS_CODE, ENT_BY, ENT_DATE, ENT_BY_IP)</v>
      </c>
      <c r="AL102" s="12" t="str">
        <f t="shared" si="43"/>
        <v>VALUES('08003224','OpdClaim.aspx', 'USER', '01', '08', 'ABDUL', SYSDATE, '10.6.100.63');</v>
      </c>
      <c r="AM102" s="12" t="str">
        <f t="shared" si="44"/>
        <v>INSERT INTO sy_perm_list (USER_CD, OPT_CD, ACCESS_TYPE, BRANCH_CODE, CLASS_CODE, ENT_BY, ENT_DATE, ENT_BY_IP)</v>
      </c>
      <c r="AN102" s="12" t="str">
        <f t="shared" si="45"/>
        <v>VALUES('08003224','RequestDetails.aspx', 'USER', '01', '08', 'ABDUL', SYSDATE, '10.6.100.63');</v>
      </c>
      <c r="AO102" s="12" t="str">
        <f t="shared" si="46"/>
        <v>INSERT INTO sy_perm_list (USER_CD, OPT_CD, ACCESS_TYPE, BRANCH_CODE, CLASS_CODE, ENT_BY, ENT_DATE, ENT_BY_IP)</v>
      </c>
      <c r="AP102" s="12" t="str">
        <f t="shared" si="47"/>
        <v>VALUES('08003224','TodaysRequest.aspx', 'USER', '01', '08', 'ABDUL', SYSDATE, '10.6.100.63');</v>
      </c>
    </row>
    <row r="103" spans="1:42" s="6" customFormat="1" ht="76.5" x14ac:dyDescent="0.2">
      <c r="A103" s="4">
        <v>87</v>
      </c>
      <c r="B103" s="5" t="s">
        <v>738</v>
      </c>
      <c r="C103" s="5">
        <v>9000267</v>
      </c>
      <c r="D103" s="6" t="s">
        <v>398</v>
      </c>
      <c r="E103" s="6" t="s">
        <v>314</v>
      </c>
      <c r="F103" s="5" t="s">
        <v>287</v>
      </c>
      <c r="G103" s="6" t="s">
        <v>288</v>
      </c>
      <c r="H103" s="5" t="s">
        <v>649</v>
      </c>
      <c r="I103" s="5">
        <v>677</v>
      </c>
      <c r="J103" s="5" t="s">
        <v>404</v>
      </c>
      <c r="K103" s="6" t="s">
        <v>74</v>
      </c>
      <c r="L103" s="6" t="s">
        <v>27</v>
      </c>
      <c r="M103" s="6" t="s">
        <v>28</v>
      </c>
      <c r="N103" s="7">
        <v>44172</v>
      </c>
      <c r="O103" s="7">
        <v>44114</v>
      </c>
      <c r="P103" s="7">
        <v>44478</v>
      </c>
      <c r="Q103" s="8">
        <v>583</v>
      </c>
      <c r="R103" s="8">
        <v>2345</v>
      </c>
      <c r="S10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3" s="12" t="str">
        <f t="shared" si="25"/>
        <v>VALUES('08800895','LIBERTY MILLS LIMITED','Salaam@123','Y','N',sysdate,'016', 'C', 'Client', 'farrukh.abbas@libertymillslimited.com','01','B', '08', 'ABDUL', sysdate, '10.6.100.63', '08800895');</v>
      </c>
      <c r="U103" s="12" t="str">
        <f t="shared" si="26"/>
        <v>INSERT INTO sy_user_branches (USER_CD, BRANCH_CODE, CLASS_CODE, ENT_BY, ENT_DATE, ENT_BY_IP)</v>
      </c>
      <c r="V103" s="12" t="str">
        <f t="shared" si="27"/>
        <v>values('08800895','01', '08', 'ABDUL', sysdate, '10.6.100.63');</v>
      </c>
      <c r="W103" s="12" t="str">
        <f t="shared" si="28"/>
        <v>INSERT INTO sy_perm_list (USER_CD, OPT_CD, ACCESS_TYPE, BRANCH_CODE, CLASS_CODE, ENT_BY, ENT_DATE, ENT_BY_IP)</v>
      </c>
      <c r="X103" s="12" t="str">
        <f t="shared" si="29"/>
        <v>VALUES('08800895','ClaimComments.aspx', 'USER', '01', '08', 'ABDUL', SYSDATE, '10.6.100.63');</v>
      </c>
      <c r="Y103" s="12" t="str">
        <f t="shared" si="30"/>
        <v>INSERT INTO sy_perm_list (USER_CD, OPT_CD, ACCESS_TYPE, BRANCH_CODE, CLASS_CODE, ENT_BY, ENT_DATE, ENT_BY_IP)</v>
      </c>
      <c r="Z103" s="12" t="str">
        <f t="shared" si="31"/>
        <v>VALUES('08800895','ClaimDocs.aspx', 'USER', '01', '08', 'ABDUL', SYSDATE, '10.6.100.63');</v>
      </c>
      <c r="AA103" s="12" t="str">
        <f t="shared" si="32"/>
        <v>INSERT INTO sy_perm_list (USER_CD, OPT_CD, ACCESS_TYPE, BRANCH_CODE, CLASS_CODE, ENT_BY, ENT_DATE, ENT_BY_IP)</v>
      </c>
      <c r="AB103" s="12" t="str">
        <f t="shared" si="33"/>
        <v>VALUES('08800895','Client.aspx', 'USER', '01', '08', 'ABDUL', SYSDATE, '10.6.100.63');</v>
      </c>
      <c r="AC103" s="12" t="str">
        <f t="shared" si="34"/>
        <v>INSERT INTO sy_perm_list (USER_CD, OPT_CD, ACCESS_TYPE, BRANCH_CODE, CLASS_CODE, ENT_BY, ENT_DATE, ENT_BY_IP)</v>
      </c>
      <c r="AD103" s="12" t="str">
        <f t="shared" si="35"/>
        <v>VALUES('08800895','ClientReports.aspx', 'USER', '01', '08', 'ABDUL', SYSDATE, '10.6.100.63');</v>
      </c>
      <c r="AE103" s="12" t="str">
        <f t="shared" si="36"/>
        <v>INSERT INTO sy_perm_list (USER_CD, OPT_CD, ACCESS_TYPE, BRANCH_CODE, CLASS_CODE, ENT_BY, ENT_DATE, ENT_BY_IP)</v>
      </c>
      <c r="AF103" s="12" t="str">
        <f t="shared" si="37"/>
        <v>VALUES('08800895','ClientRequests.aspx', 'USER', '01', '08', 'ABDUL', SYSDATE, '10.6.100.63');</v>
      </c>
      <c r="AG103" s="12" t="str">
        <f t="shared" si="38"/>
        <v>INSERT INTO sy_perm_list (USER_CD, OPT_CD, ACCESS_TYPE, BRANCH_CODE, CLASS_CODE, ENT_BY, ENT_DATE, ENT_BY_IP)</v>
      </c>
      <c r="AH103" s="12" t="str">
        <f t="shared" si="39"/>
        <v>VALUES('08800895','HealthLife.aspx', 'USER', '01', '08', 'ABDUL', SYSDATE, '10.6.100.63');</v>
      </c>
      <c r="AI103" s="12" t="str">
        <f t="shared" si="40"/>
        <v>INSERT INTO sy_perm_list (USER_CD, OPT_CD, ACCESS_TYPE, BRANCH_CODE, CLASS_CODE, ENT_BY, ENT_DATE, ENT_BY_IP)</v>
      </c>
      <c r="AJ103" s="12" t="str">
        <f t="shared" si="41"/>
        <v>VALUES('08800895','IpdClaim.aspx', 'USER', '01', '08', 'ABDUL', SYSDATE, '10.6.100.63');</v>
      </c>
      <c r="AK103" s="12" t="str">
        <f t="shared" si="42"/>
        <v>INSERT INTO sy_perm_list (USER_CD, OPT_CD, ACCESS_TYPE, BRANCH_CODE, CLASS_CODE, ENT_BY, ENT_DATE, ENT_BY_IP)</v>
      </c>
      <c r="AL103" s="12" t="str">
        <f t="shared" si="43"/>
        <v>VALUES('08800895','OpdClaim.aspx', 'USER', '01', '08', 'ABDUL', SYSDATE, '10.6.100.63');</v>
      </c>
      <c r="AM103" s="12" t="str">
        <f t="shared" si="44"/>
        <v>INSERT INTO sy_perm_list (USER_CD, OPT_CD, ACCESS_TYPE, BRANCH_CODE, CLASS_CODE, ENT_BY, ENT_DATE, ENT_BY_IP)</v>
      </c>
      <c r="AN103" s="12" t="str">
        <f t="shared" si="45"/>
        <v>VALUES('08800895','RequestDetails.aspx', 'USER', '01', '08', 'ABDUL', SYSDATE, '10.6.100.63');</v>
      </c>
      <c r="AO103" s="12" t="str">
        <f t="shared" si="46"/>
        <v>INSERT INTO sy_perm_list (USER_CD, OPT_CD, ACCESS_TYPE, BRANCH_CODE, CLASS_CODE, ENT_BY, ENT_DATE, ENT_BY_IP)</v>
      </c>
      <c r="AP103" s="12" t="str">
        <f t="shared" si="47"/>
        <v>VALUES('08800895','TodaysRequest.aspx', 'USER', '01', '08', 'ABDUL', SYSDATE, '10.6.100.63');</v>
      </c>
    </row>
    <row r="104" spans="1:42" s="6" customFormat="1" ht="76.5" x14ac:dyDescent="0.2">
      <c r="A104" s="4">
        <v>88</v>
      </c>
      <c r="B104" s="5" t="s">
        <v>739</v>
      </c>
      <c r="C104" s="5">
        <v>9000241</v>
      </c>
      <c r="D104" s="6" t="s">
        <v>296</v>
      </c>
      <c r="E104" s="6" t="s">
        <v>290</v>
      </c>
      <c r="F104" s="5" t="s">
        <v>287</v>
      </c>
      <c r="G104" s="6" t="s">
        <v>288</v>
      </c>
      <c r="H104" s="5" t="s">
        <v>649</v>
      </c>
      <c r="I104" s="5">
        <v>701</v>
      </c>
      <c r="J104" s="5" t="s">
        <v>413</v>
      </c>
      <c r="K104" s="6" t="s">
        <v>414</v>
      </c>
      <c r="L104" s="6" t="s">
        <v>168</v>
      </c>
      <c r="M104" s="6" t="s">
        <v>169</v>
      </c>
      <c r="N104" s="7">
        <v>44193</v>
      </c>
      <c r="O104" s="7">
        <v>44166</v>
      </c>
      <c r="P104" s="7">
        <v>44530</v>
      </c>
      <c r="Q104" s="8">
        <v>9</v>
      </c>
      <c r="R104" s="8">
        <v>9</v>
      </c>
      <c r="S10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4" s="12" t="str">
        <f t="shared" si="25"/>
        <v>VALUES('08801077','LINMARK INTERNATIONAL (HONG KONG) LIMITED','Salaam@123','Y','N',sysdate,'016', 'C', 'Client', 'imran.malik@linmark.com ','01','B', '08', 'ABDUL', sysdate, '10.6.100.63', '08801077');</v>
      </c>
      <c r="U104" s="12" t="str">
        <f t="shared" si="26"/>
        <v>INSERT INTO sy_user_branches (USER_CD, BRANCH_CODE, CLASS_CODE, ENT_BY, ENT_DATE, ENT_BY_IP)</v>
      </c>
      <c r="V104" s="12" t="str">
        <f t="shared" si="27"/>
        <v>values('08801077','01', '08', 'ABDUL', sysdate, '10.6.100.63');</v>
      </c>
      <c r="W104" s="12" t="str">
        <f t="shared" si="28"/>
        <v>INSERT INTO sy_perm_list (USER_CD, OPT_CD, ACCESS_TYPE, BRANCH_CODE, CLASS_CODE, ENT_BY, ENT_DATE, ENT_BY_IP)</v>
      </c>
      <c r="X104" s="12" t="str">
        <f t="shared" si="29"/>
        <v>VALUES('08801077','ClaimComments.aspx', 'USER', '01', '08', 'ABDUL', SYSDATE, '10.6.100.63');</v>
      </c>
      <c r="Y104" s="12" t="str">
        <f t="shared" si="30"/>
        <v>INSERT INTO sy_perm_list (USER_CD, OPT_CD, ACCESS_TYPE, BRANCH_CODE, CLASS_CODE, ENT_BY, ENT_DATE, ENT_BY_IP)</v>
      </c>
      <c r="Z104" s="12" t="str">
        <f t="shared" si="31"/>
        <v>VALUES('08801077','ClaimDocs.aspx', 'USER', '01', '08', 'ABDUL', SYSDATE, '10.6.100.63');</v>
      </c>
      <c r="AA104" s="12" t="str">
        <f t="shared" si="32"/>
        <v>INSERT INTO sy_perm_list (USER_CD, OPT_CD, ACCESS_TYPE, BRANCH_CODE, CLASS_CODE, ENT_BY, ENT_DATE, ENT_BY_IP)</v>
      </c>
      <c r="AB104" s="12" t="str">
        <f t="shared" si="33"/>
        <v>VALUES('08801077','Client.aspx', 'USER', '01', '08', 'ABDUL', SYSDATE, '10.6.100.63');</v>
      </c>
      <c r="AC104" s="12" t="str">
        <f t="shared" si="34"/>
        <v>INSERT INTO sy_perm_list (USER_CD, OPT_CD, ACCESS_TYPE, BRANCH_CODE, CLASS_CODE, ENT_BY, ENT_DATE, ENT_BY_IP)</v>
      </c>
      <c r="AD104" s="12" t="str">
        <f t="shared" si="35"/>
        <v>VALUES('08801077','ClientReports.aspx', 'USER', '01', '08', 'ABDUL', SYSDATE, '10.6.100.63');</v>
      </c>
      <c r="AE104" s="12" t="str">
        <f t="shared" si="36"/>
        <v>INSERT INTO sy_perm_list (USER_CD, OPT_CD, ACCESS_TYPE, BRANCH_CODE, CLASS_CODE, ENT_BY, ENT_DATE, ENT_BY_IP)</v>
      </c>
      <c r="AF104" s="12" t="str">
        <f t="shared" si="37"/>
        <v>VALUES('08801077','ClientRequests.aspx', 'USER', '01', '08', 'ABDUL', SYSDATE, '10.6.100.63');</v>
      </c>
      <c r="AG104" s="12" t="str">
        <f t="shared" si="38"/>
        <v>INSERT INTO sy_perm_list (USER_CD, OPT_CD, ACCESS_TYPE, BRANCH_CODE, CLASS_CODE, ENT_BY, ENT_DATE, ENT_BY_IP)</v>
      </c>
      <c r="AH104" s="12" t="str">
        <f t="shared" si="39"/>
        <v>VALUES('08801077','HealthLife.aspx', 'USER', '01', '08', 'ABDUL', SYSDATE, '10.6.100.63');</v>
      </c>
      <c r="AI104" s="12" t="str">
        <f t="shared" si="40"/>
        <v>INSERT INTO sy_perm_list (USER_CD, OPT_CD, ACCESS_TYPE, BRANCH_CODE, CLASS_CODE, ENT_BY, ENT_DATE, ENT_BY_IP)</v>
      </c>
      <c r="AJ104" s="12" t="str">
        <f t="shared" si="41"/>
        <v>VALUES('08801077','IpdClaim.aspx', 'USER', '01', '08', 'ABDUL', SYSDATE, '10.6.100.63');</v>
      </c>
      <c r="AK104" s="12" t="str">
        <f t="shared" si="42"/>
        <v>INSERT INTO sy_perm_list (USER_CD, OPT_CD, ACCESS_TYPE, BRANCH_CODE, CLASS_CODE, ENT_BY, ENT_DATE, ENT_BY_IP)</v>
      </c>
      <c r="AL104" s="12" t="str">
        <f t="shared" si="43"/>
        <v>VALUES('08801077','OpdClaim.aspx', 'USER', '01', '08', 'ABDUL', SYSDATE, '10.6.100.63');</v>
      </c>
      <c r="AM104" s="12" t="str">
        <f t="shared" si="44"/>
        <v>INSERT INTO sy_perm_list (USER_CD, OPT_CD, ACCESS_TYPE, BRANCH_CODE, CLASS_CODE, ENT_BY, ENT_DATE, ENT_BY_IP)</v>
      </c>
      <c r="AN104" s="12" t="str">
        <f t="shared" si="45"/>
        <v>VALUES('08801077','RequestDetails.aspx', 'USER', '01', '08', 'ABDUL', SYSDATE, '10.6.100.63');</v>
      </c>
      <c r="AO104" s="12" t="str">
        <f t="shared" si="46"/>
        <v>INSERT INTO sy_perm_list (USER_CD, OPT_CD, ACCESS_TYPE, BRANCH_CODE, CLASS_CODE, ENT_BY, ENT_DATE, ENT_BY_IP)</v>
      </c>
      <c r="AP104" s="12" t="str">
        <f t="shared" si="47"/>
        <v>VALUES('08801077','TodaysRequest.aspx', 'USER', '01', '08', 'ABDUL', SYSDATE, '10.6.100.63');</v>
      </c>
    </row>
    <row r="105" spans="1:42" s="6" customFormat="1" ht="76.5" x14ac:dyDescent="0.2">
      <c r="A105" s="4">
        <v>89</v>
      </c>
      <c r="B105" s="5" t="s">
        <v>740</v>
      </c>
      <c r="C105" s="5">
        <v>9000221</v>
      </c>
      <c r="D105" s="6" t="s">
        <v>285</v>
      </c>
      <c r="E105" s="6" t="s">
        <v>286</v>
      </c>
      <c r="F105" s="5" t="s">
        <v>287</v>
      </c>
      <c r="G105" s="6" t="s">
        <v>288</v>
      </c>
      <c r="H105" s="5" t="s">
        <v>649</v>
      </c>
      <c r="I105" s="5">
        <v>755</v>
      </c>
      <c r="J105" s="5" t="s">
        <v>466</v>
      </c>
      <c r="K105" s="6" t="s">
        <v>467</v>
      </c>
      <c r="L105" s="6" t="s">
        <v>232</v>
      </c>
      <c r="M105" s="6" t="s">
        <v>233</v>
      </c>
      <c r="N105" s="7">
        <v>44229</v>
      </c>
      <c r="O105" s="7">
        <v>44228</v>
      </c>
      <c r="P105" s="7">
        <v>44592</v>
      </c>
      <c r="Q105" s="8">
        <v>51</v>
      </c>
      <c r="R105" s="8">
        <v>193</v>
      </c>
      <c r="S105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5" s="12" t="str">
        <f t="shared" si="25"/>
        <v>VALUES('08801747','LOVE FOR DATA','Salaam@123','Y','N',sysdate,'016', 'C', 'Client', 'sundus.kaleem@lovefordata.com','01','B', '08', 'ABDUL', sysdate, '10.6.100.63', '08801747');</v>
      </c>
      <c r="U105" s="12" t="str">
        <f t="shared" si="26"/>
        <v>INSERT INTO sy_user_branches (USER_CD, BRANCH_CODE, CLASS_CODE, ENT_BY, ENT_DATE, ENT_BY_IP)</v>
      </c>
      <c r="V105" s="12" t="str">
        <f t="shared" si="27"/>
        <v>values('08801747','01', '08', 'ABDUL', sysdate, '10.6.100.63');</v>
      </c>
      <c r="W105" s="12" t="str">
        <f t="shared" si="28"/>
        <v>INSERT INTO sy_perm_list (USER_CD, OPT_CD, ACCESS_TYPE, BRANCH_CODE, CLASS_CODE, ENT_BY, ENT_DATE, ENT_BY_IP)</v>
      </c>
      <c r="X105" s="12" t="str">
        <f t="shared" si="29"/>
        <v>VALUES('08801747','ClaimComments.aspx', 'USER', '01', '08', 'ABDUL', SYSDATE, '10.6.100.63');</v>
      </c>
      <c r="Y105" s="12" t="str">
        <f t="shared" si="30"/>
        <v>INSERT INTO sy_perm_list (USER_CD, OPT_CD, ACCESS_TYPE, BRANCH_CODE, CLASS_CODE, ENT_BY, ENT_DATE, ENT_BY_IP)</v>
      </c>
      <c r="Z105" s="12" t="str">
        <f t="shared" si="31"/>
        <v>VALUES('08801747','ClaimDocs.aspx', 'USER', '01', '08', 'ABDUL', SYSDATE, '10.6.100.63');</v>
      </c>
      <c r="AA105" s="12" t="str">
        <f t="shared" si="32"/>
        <v>INSERT INTO sy_perm_list (USER_CD, OPT_CD, ACCESS_TYPE, BRANCH_CODE, CLASS_CODE, ENT_BY, ENT_DATE, ENT_BY_IP)</v>
      </c>
      <c r="AB105" s="12" t="str">
        <f t="shared" si="33"/>
        <v>VALUES('08801747','Client.aspx', 'USER', '01', '08', 'ABDUL', SYSDATE, '10.6.100.63');</v>
      </c>
      <c r="AC105" s="12" t="str">
        <f t="shared" si="34"/>
        <v>INSERT INTO sy_perm_list (USER_CD, OPT_CD, ACCESS_TYPE, BRANCH_CODE, CLASS_CODE, ENT_BY, ENT_DATE, ENT_BY_IP)</v>
      </c>
      <c r="AD105" s="12" t="str">
        <f t="shared" si="35"/>
        <v>VALUES('08801747','ClientReports.aspx', 'USER', '01', '08', 'ABDUL', SYSDATE, '10.6.100.63');</v>
      </c>
      <c r="AE105" s="12" t="str">
        <f t="shared" si="36"/>
        <v>INSERT INTO sy_perm_list (USER_CD, OPT_CD, ACCESS_TYPE, BRANCH_CODE, CLASS_CODE, ENT_BY, ENT_DATE, ENT_BY_IP)</v>
      </c>
      <c r="AF105" s="12" t="str">
        <f t="shared" si="37"/>
        <v>VALUES('08801747','ClientRequests.aspx', 'USER', '01', '08', 'ABDUL', SYSDATE, '10.6.100.63');</v>
      </c>
      <c r="AG105" s="12" t="str">
        <f t="shared" si="38"/>
        <v>INSERT INTO sy_perm_list (USER_CD, OPT_CD, ACCESS_TYPE, BRANCH_CODE, CLASS_CODE, ENT_BY, ENT_DATE, ENT_BY_IP)</v>
      </c>
      <c r="AH105" s="12" t="str">
        <f t="shared" si="39"/>
        <v>VALUES('08801747','HealthLife.aspx', 'USER', '01', '08', 'ABDUL', SYSDATE, '10.6.100.63');</v>
      </c>
      <c r="AI105" s="12" t="str">
        <f t="shared" si="40"/>
        <v>INSERT INTO sy_perm_list (USER_CD, OPT_CD, ACCESS_TYPE, BRANCH_CODE, CLASS_CODE, ENT_BY, ENT_DATE, ENT_BY_IP)</v>
      </c>
      <c r="AJ105" s="12" t="str">
        <f t="shared" si="41"/>
        <v>VALUES('08801747','IpdClaim.aspx', 'USER', '01', '08', 'ABDUL', SYSDATE, '10.6.100.63');</v>
      </c>
      <c r="AK105" s="12" t="str">
        <f t="shared" si="42"/>
        <v>INSERT INTO sy_perm_list (USER_CD, OPT_CD, ACCESS_TYPE, BRANCH_CODE, CLASS_CODE, ENT_BY, ENT_DATE, ENT_BY_IP)</v>
      </c>
      <c r="AL105" s="12" t="str">
        <f t="shared" si="43"/>
        <v>VALUES('08801747','OpdClaim.aspx', 'USER', '01', '08', 'ABDUL', SYSDATE, '10.6.100.63');</v>
      </c>
      <c r="AM105" s="12" t="str">
        <f t="shared" si="44"/>
        <v>INSERT INTO sy_perm_list (USER_CD, OPT_CD, ACCESS_TYPE, BRANCH_CODE, CLASS_CODE, ENT_BY, ENT_DATE, ENT_BY_IP)</v>
      </c>
      <c r="AN105" s="12" t="str">
        <f t="shared" si="45"/>
        <v>VALUES('08801747','RequestDetails.aspx', 'USER', '01', '08', 'ABDUL', SYSDATE, '10.6.100.63');</v>
      </c>
      <c r="AO105" s="12" t="str">
        <f t="shared" si="46"/>
        <v>INSERT INTO sy_perm_list (USER_CD, OPT_CD, ACCESS_TYPE, BRANCH_CODE, CLASS_CODE, ENT_BY, ENT_DATE, ENT_BY_IP)</v>
      </c>
      <c r="AP105" s="12" t="str">
        <f t="shared" si="47"/>
        <v>VALUES('08801747','TodaysRequest.aspx', 'USER', '01', '08', 'ABDUL', SYSDATE, '10.6.100.63');</v>
      </c>
    </row>
    <row r="106" spans="1:42" s="6" customFormat="1" ht="76.5" x14ac:dyDescent="0.2">
      <c r="A106" s="4">
        <v>90</v>
      </c>
      <c r="B106" s="5" t="s">
        <v>741</v>
      </c>
      <c r="C106" s="5">
        <v>9000244</v>
      </c>
      <c r="D106" s="6" t="s">
        <v>337</v>
      </c>
      <c r="E106" s="6" t="s">
        <v>290</v>
      </c>
      <c r="F106" s="5" t="s">
        <v>287</v>
      </c>
      <c r="G106" s="6" t="s">
        <v>288</v>
      </c>
      <c r="H106" s="5" t="s">
        <v>649</v>
      </c>
      <c r="I106" s="5">
        <v>707</v>
      </c>
      <c r="J106" s="5" t="s">
        <v>423</v>
      </c>
      <c r="K106" s="6" t="s">
        <v>67</v>
      </c>
      <c r="L106" s="6" t="s">
        <v>14</v>
      </c>
      <c r="M106" s="6" t="s">
        <v>15</v>
      </c>
      <c r="N106" s="7">
        <v>44195</v>
      </c>
      <c r="O106" s="7">
        <v>44166</v>
      </c>
      <c r="P106" s="7">
        <v>44530</v>
      </c>
      <c r="Q106" s="8">
        <v>43</v>
      </c>
      <c r="R106" s="8">
        <v>43</v>
      </c>
      <c r="S106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6" s="12" t="str">
        <f t="shared" si="25"/>
        <v>VALUES('08801058','MARINE TERMINAL OPERATION SERVICES (PVT) LTD','Salaam@123','Y','N',sysdate,'016', 'C', 'Client', 'kashifakn@gmail.com','01','B', '08', 'ABDUL', sysdate, '10.6.100.63', '08801058');</v>
      </c>
      <c r="U106" s="12" t="str">
        <f t="shared" si="26"/>
        <v>INSERT INTO sy_user_branches (USER_CD, BRANCH_CODE, CLASS_CODE, ENT_BY, ENT_DATE, ENT_BY_IP)</v>
      </c>
      <c r="V106" s="12" t="str">
        <f t="shared" si="27"/>
        <v>values('08801058','01', '08', 'ABDUL', sysdate, '10.6.100.63');</v>
      </c>
      <c r="W106" s="12" t="str">
        <f t="shared" si="28"/>
        <v>INSERT INTO sy_perm_list (USER_CD, OPT_CD, ACCESS_TYPE, BRANCH_CODE, CLASS_CODE, ENT_BY, ENT_DATE, ENT_BY_IP)</v>
      </c>
      <c r="X106" s="12" t="str">
        <f t="shared" si="29"/>
        <v>VALUES('08801058','ClaimComments.aspx', 'USER', '01', '08', 'ABDUL', SYSDATE, '10.6.100.63');</v>
      </c>
      <c r="Y106" s="12" t="str">
        <f t="shared" si="30"/>
        <v>INSERT INTO sy_perm_list (USER_CD, OPT_CD, ACCESS_TYPE, BRANCH_CODE, CLASS_CODE, ENT_BY, ENT_DATE, ENT_BY_IP)</v>
      </c>
      <c r="Z106" s="12" t="str">
        <f t="shared" si="31"/>
        <v>VALUES('08801058','ClaimDocs.aspx', 'USER', '01', '08', 'ABDUL', SYSDATE, '10.6.100.63');</v>
      </c>
      <c r="AA106" s="12" t="str">
        <f t="shared" si="32"/>
        <v>INSERT INTO sy_perm_list (USER_CD, OPT_CD, ACCESS_TYPE, BRANCH_CODE, CLASS_CODE, ENT_BY, ENT_DATE, ENT_BY_IP)</v>
      </c>
      <c r="AB106" s="12" t="str">
        <f t="shared" si="33"/>
        <v>VALUES('08801058','Client.aspx', 'USER', '01', '08', 'ABDUL', SYSDATE, '10.6.100.63');</v>
      </c>
      <c r="AC106" s="12" t="str">
        <f t="shared" si="34"/>
        <v>INSERT INTO sy_perm_list (USER_CD, OPT_CD, ACCESS_TYPE, BRANCH_CODE, CLASS_CODE, ENT_BY, ENT_DATE, ENT_BY_IP)</v>
      </c>
      <c r="AD106" s="12" t="str">
        <f t="shared" si="35"/>
        <v>VALUES('08801058','ClientReports.aspx', 'USER', '01', '08', 'ABDUL', SYSDATE, '10.6.100.63');</v>
      </c>
      <c r="AE106" s="12" t="str">
        <f t="shared" si="36"/>
        <v>INSERT INTO sy_perm_list (USER_CD, OPT_CD, ACCESS_TYPE, BRANCH_CODE, CLASS_CODE, ENT_BY, ENT_DATE, ENT_BY_IP)</v>
      </c>
      <c r="AF106" s="12" t="str">
        <f t="shared" si="37"/>
        <v>VALUES('08801058','ClientRequests.aspx', 'USER', '01', '08', 'ABDUL', SYSDATE, '10.6.100.63');</v>
      </c>
      <c r="AG106" s="12" t="str">
        <f t="shared" si="38"/>
        <v>INSERT INTO sy_perm_list (USER_CD, OPT_CD, ACCESS_TYPE, BRANCH_CODE, CLASS_CODE, ENT_BY, ENT_DATE, ENT_BY_IP)</v>
      </c>
      <c r="AH106" s="12" t="str">
        <f t="shared" si="39"/>
        <v>VALUES('08801058','HealthLife.aspx', 'USER', '01', '08', 'ABDUL', SYSDATE, '10.6.100.63');</v>
      </c>
      <c r="AI106" s="12" t="str">
        <f t="shared" si="40"/>
        <v>INSERT INTO sy_perm_list (USER_CD, OPT_CD, ACCESS_TYPE, BRANCH_CODE, CLASS_CODE, ENT_BY, ENT_DATE, ENT_BY_IP)</v>
      </c>
      <c r="AJ106" s="12" t="str">
        <f t="shared" si="41"/>
        <v>VALUES('08801058','IpdClaim.aspx', 'USER', '01', '08', 'ABDUL', SYSDATE, '10.6.100.63');</v>
      </c>
      <c r="AK106" s="12" t="str">
        <f t="shared" si="42"/>
        <v>INSERT INTO sy_perm_list (USER_CD, OPT_CD, ACCESS_TYPE, BRANCH_CODE, CLASS_CODE, ENT_BY, ENT_DATE, ENT_BY_IP)</v>
      </c>
      <c r="AL106" s="12" t="str">
        <f t="shared" si="43"/>
        <v>VALUES('08801058','OpdClaim.aspx', 'USER', '01', '08', 'ABDUL', SYSDATE, '10.6.100.63');</v>
      </c>
      <c r="AM106" s="12" t="str">
        <f t="shared" si="44"/>
        <v>INSERT INTO sy_perm_list (USER_CD, OPT_CD, ACCESS_TYPE, BRANCH_CODE, CLASS_CODE, ENT_BY, ENT_DATE, ENT_BY_IP)</v>
      </c>
      <c r="AN106" s="12" t="str">
        <f t="shared" si="45"/>
        <v>VALUES('08801058','RequestDetails.aspx', 'USER', '01', '08', 'ABDUL', SYSDATE, '10.6.100.63');</v>
      </c>
      <c r="AO106" s="12" t="str">
        <f t="shared" si="46"/>
        <v>INSERT INTO sy_perm_list (USER_CD, OPT_CD, ACCESS_TYPE, BRANCH_CODE, CLASS_CODE, ENT_BY, ENT_DATE, ENT_BY_IP)</v>
      </c>
      <c r="AP106" s="12" t="str">
        <f t="shared" si="47"/>
        <v>VALUES('08801058','TodaysRequest.aspx', 'USER', '01', '08', 'ABDUL', SYSDATE, '10.6.100.63');</v>
      </c>
    </row>
    <row r="107" spans="1:42" s="6" customFormat="1" ht="76.5" x14ac:dyDescent="0.2">
      <c r="A107" s="4">
        <v>91</v>
      </c>
      <c r="B107" s="5" t="s">
        <v>742</v>
      </c>
      <c r="C107" s="5">
        <v>9000248</v>
      </c>
      <c r="D107" s="6" t="s">
        <v>293</v>
      </c>
      <c r="E107" s="6" t="s">
        <v>290</v>
      </c>
      <c r="F107" s="5" t="s">
        <v>287</v>
      </c>
      <c r="G107" s="6" t="s">
        <v>288</v>
      </c>
      <c r="H107" s="5" t="s">
        <v>652</v>
      </c>
      <c r="I107" s="5">
        <v>618</v>
      </c>
      <c r="J107" s="5" t="s">
        <v>355</v>
      </c>
      <c r="K107" s="6" t="s">
        <v>356</v>
      </c>
      <c r="L107" s="6" t="s">
        <v>603</v>
      </c>
      <c r="M107" s="6" t="s">
        <v>604</v>
      </c>
      <c r="N107" s="7">
        <v>44093</v>
      </c>
      <c r="O107" s="7">
        <v>44044</v>
      </c>
      <c r="P107" s="7">
        <v>44408</v>
      </c>
      <c r="Q107" s="8">
        <v>558</v>
      </c>
      <c r="R107" s="8">
        <v>1336</v>
      </c>
      <c r="S107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7" s="12" t="str">
        <f t="shared" si="25"/>
        <v>VALUES('08801526','MAROOF INTERNATIONAL HOSPITAL','Salaam@123','Y','N',sysdate,'016', 'C', 'Client', 'zeeshan.ali@maroof.com.pk','01','B', '08', 'ABDUL', sysdate, '10.6.100.63', '08801526');</v>
      </c>
      <c r="U107" s="12" t="str">
        <f t="shared" si="26"/>
        <v>INSERT INTO sy_user_branches (USER_CD, BRANCH_CODE, CLASS_CODE, ENT_BY, ENT_DATE, ENT_BY_IP)</v>
      </c>
      <c r="V107" s="12" t="str">
        <f t="shared" si="27"/>
        <v>values('08801526','01', '08', 'ABDUL', sysdate, '10.6.100.63');</v>
      </c>
      <c r="W107" s="12" t="str">
        <f t="shared" si="28"/>
        <v>INSERT INTO sy_perm_list (USER_CD, OPT_CD, ACCESS_TYPE, BRANCH_CODE, CLASS_CODE, ENT_BY, ENT_DATE, ENT_BY_IP)</v>
      </c>
      <c r="X107" s="12" t="str">
        <f t="shared" si="29"/>
        <v>VALUES('08801526','ClaimComments.aspx', 'USER', '01', '08', 'ABDUL', SYSDATE, '10.6.100.63');</v>
      </c>
      <c r="Y107" s="12" t="str">
        <f t="shared" si="30"/>
        <v>INSERT INTO sy_perm_list (USER_CD, OPT_CD, ACCESS_TYPE, BRANCH_CODE, CLASS_CODE, ENT_BY, ENT_DATE, ENT_BY_IP)</v>
      </c>
      <c r="Z107" s="12" t="str">
        <f t="shared" si="31"/>
        <v>VALUES('08801526','ClaimDocs.aspx', 'USER', '01', '08', 'ABDUL', SYSDATE, '10.6.100.63');</v>
      </c>
      <c r="AA107" s="12" t="str">
        <f t="shared" si="32"/>
        <v>INSERT INTO sy_perm_list (USER_CD, OPT_CD, ACCESS_TYPE, BRANCH_CODE, CLASS_CODE, ENT_BY, ENT_DATE, ENT_BY_IP)</v>
      </c>
      <c r="AB107" s="12" t="str">
        <f t="shared" si="33"/>
        <v>VALUES('08801526','Client.aspx', 'USER', '01', '08', 'ABDUL', SYSDATE, '10.6.100.63');</v>
      </c>
      <c r="AC107" s="12" t="str">
        <f t="shared" si="34"/>
        <v>INSERT INTO sy_perm_list (USER_CD, OPT_CD, ACCESS_TYPE, BRANCH_CODE, CLASS_CODE, ENT_BY, ENT_DATE, ENT_BY_IP)</v>
      </c>
      <c r="AD107" s="12" t="str">
        <f t="shared" si="35"/>
        <v>VALUES('08801526','ClientReports.aspx', 'USER', '01', '08', 'ABDUL', SYSDATE, '10.6.100.63');</v>
      </c>
      <c r="AE107" s="12" t="str">
        <f t="shared" si="36"/>
        <v>INSERT INTO sy_perm_list (USER_CD, OPT_CD, ACCESS_TYPE, BRANCH_CODE, CLASS_CODE, ENT_BY, ENT_DATE, ENT_BY_IP)</v>
      </c>
      <c r="AF107" s="12" t="str">
        <f t="shared" si="37"/>
        <v>VALUES('08801526','ClientRequests.aspx', 'USER', '01', '08', 'ABDUL', SYSDATE, '10.6.100.63');</v>
      </c>
      <c r="AG107" s="12" t="str">
        <f t="shared" si="38"/>
        <v>INSERT INTO sy_perm_list (USER_CD, OPT_CD, ACCESS_TYPE, BRANCH_CODE, CLASS_CODE, ENT_BY, ENT_DATE, ENT_BY_IP)</v>
      </c>
      <c r="AH107" s="12" t="str">
        <f t="shared" si="39"/>
        <v>VALUES('08801526','HealthLife.aspx', 'USER', '01', '08', 'ABDUL', SYSDATE, '10.6.100.63');</v>
      </c>
      <c r="AI107" s="12" t="str">
        <f t="shared" si="40"/>
        <v>INSERT INTO sy_perm_list (USER_CD, OPT_CD, ACCESS_TYPE, BRANCH_CODE, CLASS_CODE, ENT_BY, ENT_DATE, ENT_BY_IP)</v>
      </c>
      <c r="AJ107" s="12" t="str">
        <f t="shared" si="41"/>
        <v>VALUES('08801526','IpdClaim.aspx', 'USER', '01', '08', 'ABDUL', SYSDATE, '10.6.100.63');</v>
      </c>
      <c r="AK107" s="12" t="str">
        <f t="shared" si="42"/>
        <v>INSERT INTO sy_perm_list (USER_CD, OPT_CD, ACCESS_TYPE, BRANCH_CODE, CLASS_CODE, ENT_BY, ENT_DATE, ENT_BY_IP)</v>
      </c>
      <c r="AL107" s="12" t="str">
        <f t="shared" si="43"/>
        <v>VALUES('08801526','OpdClaim.aspx', 'USER', '01', '08', 'ABDUL', SYSDATE, '10.6.100.63');</v>
      </c>
      <c r="AM107" s="12" t="str">
        <f t="shared" si="44"/>
        <v>INSERT INTO sy_perm_list (USER_CD, OPT_CD, ACCESS_TYPE, BRANCH_CODE, CLASS_CODE, ENT_BY, ENT_DATE, ENT_BY_IP)</v>
      </c>
      <c r="AN107" s="12" t="str">
        <f t="shared" si="45"/>
        <v>VALUES('08801526','RequestDetails.aspx', 'USER', '01', '08', 'ABDUL', SYSDATE, '10.6.100.63');</v>
      </c>
      <c r="AO107" s="12" t="str">
        <f t="shared" si="46"/>
        <v>INSERT INTO sy_perm_list (USER_CD, OPT_CD, ACCESS_TYPE, BRANCH_CODE, CLASS_CODE, ENT_BY, ENT_DATE, ENT_BY_IP)</v>
      </c>
      <c r="AP107" s="12" t="str">
        <f t="shared" si="47"/>
        <v>VALUES('08801526','TodaysRequest.aspx', 'USER', '01', '08', 'ABDUL', SYSDATE, '10.6.100.63');</v>
      </c>
    </row>
    <row r="108" spans="1:42" s="6" customFormat="1" ht="76.5" x14ac:dyDescent="0.2">
      <c r="A108" s="4">
        <v>92</v>
      </c>
      <c r="B108" s="5" t="s">
        <v>743</v>
      </c>
      <c r="C108" s="5">
        <v>9000248</v>
      </c>
      <c r="D108" s="6" t="s">
        <v>293</v>
      </c>
      <c r="E108" s="6" t="s">
        <v>290</v>
      </c>
      <c r="F108" s="5" t="s">
        <v>287</v>
      </c>
      <c r="G108" s="6" t="s">
        <v>288</v>
      </c>
      <c r="H108" s="5" t="s">
        <v>652</v>
      </c>
      <c r="I108" s="5">
        <v>606</v>
      </c>
      <c r="J108" s="5" t="s">
        <v>351</v>
      </c>
      <c r="K108" s="6" t="s">
        <v>352</v>
      </c>
      <c r="L108" s="6" t="s">
        <v>605</v>
      </c>
      <c r="M108" s="6" t="s">
        <v>606</v>
      </c>
      <c r="N108" s="7">
        <v>44083</v>
      </c>
      <c r="O108" s="7">
        <v>44075</v>
      </c>
      <c r="P108" s="7">
        <v>44439</v>
      </c>
      <c r="Q108" s="8">
        <v>43</v>
      </c>
      <c r="R108" s="8">
        <v>85</v>
      </c>
      <c r="S10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8" s="12" t="str">
        <f t="shared" si="25"/>
        <v>VALUES('08801518','MARYAM MEMORIAL HOSPITAL (PRIVATE) LIMITED','Salaam@123','Y','N',sysdate,'016', 'C', 'Client', 'bilal@maryam.com.pk','01','B', '08', 'ABDUL', sysdate, '10.6.100.63', '08801518');</v>
      </c>
      <c r="U108" s="12" t="str">
        <f t="shared" si="26"/>
        <v>INSERT INTO sy_user_branches (USER_CD, BRANCH_CODE, CLASS_CODE, ENT_BY, ENT_DATE, ENT_BY_IP)</v>
      </c>
      <c r="V108" s="12" t="str">
        <f t="shared" si="27"/>
        <v>values('08801518','01', '08', 'ABDUL', sysdate, '10.6.100.63');</v>
      </c>
      <c r="W108" s="12" t="str">
        <f t="shared" si="28"/>
        <v>INSERT INTO sy_perm_list (USER_CD, OPT_CD, ACCESS_TYPE, BRANCH_CODE, CLASS_CODE, ENT_BY, ENT_DATE, ENT_BY_IP)</v>
      </c>
      <c r="X108" s="12" t="str">
        <f t="shared" si="29"/>
        <v>VALUES('08801518','ClaimComments.aspx', 'USER', '01', '08', 'ABDUL', SYSDATE, '10.6.100.63');</v>
      </c>
      <c r="Y108" s="12" t="str">
        <f t="shared" si="30"/>
        <v>INSERT INTO sy_perm_list (USER_CD, OPT_CD, ACCESS_TYPE, BRANCH_CODE, CLASS_CODE, ENT_BY, ENT_DATE, ENT_BY_IP)</v>
      </c>
      <c r="Z108" s="12" t="str">
        <f t="shared" si="31"/>
        <v>VALUES('08801518','ClaimDocs.aspx', 'USER', '01', '08', 'ABDUL', SYSDATE, '10.6.100.63');</v>
      </c>
      <c r="AA108" s="12" t="str">
        <f t="shared" si="32"/>
        <v>INSERT INTO sy_perm_list (USER_CD, OPT_CD, ACCESS_TYPE, BRANCH_CODE, CLASS_CODE, ENT_BY, ENT_DATE, ENT_BY_IP)</v>
      </c>
      <c r="AB108" s="12" t="str">
        <f t="shared" si="33"/>
        <v>VALUES('08801518','Client.aspx', 'USER', '01', '08', 'ABDUL', SYSDATE, '10.6.100.63');</v>
      </c>
      <c r="AC108" s="12" t="str">
        <f t="shared" si="34"/>
        <v>INSERT INTO sy_perm_list (USER_CD, OPT_CD, ACCESS_TYPE, BRANCH_CODE, CLASS_CODE, ENT_BY, ENT_DATE, ENT_BY_IP)</v>
      </c>
      <c r="AD108" s="12" t="str">
        <f t="shared" si="35"/>
        <v>VALUES('08801518','ClientReports.aspx', 'USER', '01', '08', 'ABDUL', SYSDATE, '10.6.100.63');</v>
      </c>
      <c r="AE108" s="12" t="str">
        <f t="shared" si="36"/>
        <v>INSERT INTO sy_perm_list (USER_CD, OPT_CD, ACCESS_TYPE, BRANCH_CODE, CLASS_CODE, ENT_BY, ENT_DATE, ENT_BY_IP)</v>
      </c>
      <c r="AF108" s="12" t="str">
        <f t="shared" si="37"/>
        <v>VALUES('08801518','ClientRequests.aspx', 'USER', '01', '08', 'ABDUL', SYSDATE, '10.6.100.63');</v>
      </c>
      <c r="AG108" s="12" t="str">
        <f t="shared" si="38"/>
        <v>INSERT INTO sy_perm_list (USER_CD, OPT_CD, ACCESS_TYPE, BRANCH_CODE, CLASS_CODE, ENT_BY, ENT_DATE, ENT_BY_IP)</v>
      </c>
      <c r="AH108" s="12" t="str">
        <f t="shared" si="39"/>
        <v>VALUES('08801518','HealthLife.aspx', 'USER', '01', '08', 'ABDUL', SYSDATE, '10.6.100.63');</v>
      </c>
      <c r="AI108" s="12" t="str">
        <f t="shared" si="40"/>
        <v>INSERT INTO sy_perm_list (USER_CD, OPT_CD, ACCESS_TYPE, BRANCH_CODE, CLASS_CODE, ENT_BY, ENT_DATE, ENT_BY_IP)</v>
      </c>
      <c r="AJ108" s="12" t="str">
        <f t="shared" si="41"/>
        <v>VALUES('08801518','IpdClaim.aspx', 'USER', '01', '08', 'ABDUL', SYSDATE, '10.6.100.63');</v>
      </c>
      <c r="AK108" s="12" t="str">
        <f t="shared" si="42"/>
        <v>INSERT INTO sy_perm_list (USER_CD, OPT_CD, ACCESS_TYPE, BRANCH_CODE, CLASS_CODE, ENT_BY, ENT_DATE, ENT_BY_IP)</v>
      </c>
      <c r="AL108" s="12" t="str">
        <f t="shared" si="43"/>
        <v>VALUES('08801518','OpdClaim.aspx', 'USER', '01', '08', 'ABDUL', SYSDATE, '10.6.100.63');</v>
      </c>
      <c r="AM108" s="12" t="str">
        <f t="shared" si="44"/>
        <v>INSERT INTO sy_perm_list (USER_CD, OPT_CD, ACCESS_TYPE, BRANCH_CODE, CLASS_CODE, ENT_BY, ENT_DATE, ENT_BY_IP)</v>
      </c>
      <c r="AN108" s="12" t="str">
        <f t="shared" si="45"/>
        <v>VALUES('08801518','RequestDetails.aspx', 'USER', '01', '08', 'ABDUL', SYSDATE, '10.6.100.63');</v>
      </c>
      <c r="AO108" s="12" t="str">
        <f t="shared" si="46"/>
        <v>INSERT INTO sy_perm_list (USER_CD, OPT_CD, ACCESS_TYPE, BRANCH_CODE, CLASS_CODE, ENT_BY, ENT_DATE, ENT_BY_IP)</v>
      </c>
      <c r="AP108" s="12" t="str">
        <f t="shared" si="47"/>
        <v>VALUES('08801518','TodaysRequest.aspx', 'USER', '01', '08', 'ABDUL', SYSDATE, '10.6.100.63');</v>
      </c>
    </row>
    <row r="109" spans="1:42" s="6" customFormat="1" ht="76.5" x14ac:dyDescent="0.2">
      <c r="A109" s="4">
        <v>93</v>
      </c>
      <c r="B109" s="5" t="s">
        <v>744</v>
      </c>
      <c r="C109" s="5">
        <v>9000278</v>
      </c>
      <c r="D109" s="6" t="s">
        <v>451</v>
      </c>
      <c r="E109" s="6" t="s">
        <v>314</v>
      </c>
      <c r="F109" s="5" t="s">
        <v>287</v>
      </c>
      <c r="G109" s="6" t="s">
        <v>288</v>
      </c>
      <c r="H109" s="5" t="s">
        <v>649</v>
      </c>
      <c r="I109" s="5">
        <v>734</v>
      </c>
      <c r="J109" s="5" t="s">
        <v>452</v>
      </c>
      <c r="K109" s="6" t="s">
        <v>60</v>
      </c>
      <c r="L109" s="6" t="s">
        <v>61</v>
      </c>
      <c r="M109" s="6" t="s">
        <v>62</v>
      </c>
      <c r="N109" s="7">
        <v>44209</v>
      </c>
      <c r="O109" s="7">
        <v>44197</v>
      </c>
      <c r="P109" s="7">
        <v>44561</v>
      </c>
      <c r="Q109" s="8">
        <v>67</v>
      </c>
      <c r="R109" s="8">
        <v>226</v>
      </c>
      <c r="S109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09" s="12" t="str">
        <f t="shared" si="25"/>
        <v>VALUES('08801709','MEDZNTECH (PRIVATE) LIMITED','Salaam@123','Y','N',sysdate,'016', 'C', 'Client', 'ayub.ismail@medzntech.com','01','B', '08', 'ABDUL', sysdate, '10.6.100.63', '08801709');</v>
      </c>
      <c r="U109" s="12" t="str">
        <f t="shared" si="26"/>
        <v>INSERT INTO sy_user_branches (USER_CD, BRANCH_CODE, CLASS_CODE, ENT_BY, ENT_DATE, ENT_BY_IP)</v>
      </c>
      <c r="V109" s="12" t="str">
        <f t="shared" si="27"/>
        <v>values('08801709','01', '08', 'ABDUL', sysdate, '10.6.100.63');</v>
      </c>
      <c r="W109" s="12" t="str">
        <f t="shared" si="28"/>
        <v>INSERT INTO sy_perm_list (USER_CD, OPT_CD, ACCESS_TYPE, BRANCH_CODE, CLASS_CODE, ENT_BY, ENT_DATE, ENT_BY_IP)</v>
      </c>
      <c r="X109" s="12" t="str">
        <f t="shared" si="29"/>
        <v>VALUES('08801709','ClaimComments.aspx', 'USER', '01', '08', 'ABDUL', SYSDATE, '10.6.100.63');</v>
      </c>
      <c r="Y109" s="12" t="str">
        <f t="shared" si="30"/>
        <v>INSERT INTO sy_perm_list (USER_CD, OPT_CD, ACCESS_TYPE, BRANCH_CODE, CLASS_CODE, ENT_BY, ENT_DATE, ENT_BY_IP)</v>
      </c>
      <c r="Z109" s="12" t="str">
        <f t="shared" si="31"/>
        <v>VALUES('08801709','ClaimDocs.aspx', 'USER', '01', '08', 'ABDUL', SYSDATE, '10.6.100.63');</v>
      </c>
      <c r="AA109" s="12" t="str">
        <f t="shared" si="32"/>
        <v>INSERT INTO sy_perm_list (USER_CD, OPT_CD, ACCESS_TYPE, BRANCH_CODE, CLASS_CODE, ENT_BY, ENT_DATE, ENT_BY_IP)</v>
      </c>
      <c r="AB109" s="12" t="str">
        <f t="shared" si="33"/>
        <v>VALUES('08801709','Client.aspx', 'USER', '01', '08', 'ABDUL', SYSDATE, '10.6.100.63');</v>
      </c>
      <c r="AC109" s="12" t="str">
        <f t="shared" si="34"/>
        <v>INSERT INTO sy_perm_list (USER_CD, OPT_CD, ACCESS_TYPE, BRANCH_CODE, CLASS_CODE, ENT_BY, ENT_DATE, ENT_BY_IP)</v>
      </c>
      <c r="AD109" s="12" t="str">
        <f t="shared" si="35"/>
        <v>VALUES('08801709','ClientReports.aspx', 'USER', '01', '08', 'ABDUL', SYSDATE, '10.6.100.63');</v>
      </c>
      <c r="AE109" s="12" t="str">
        <f t="shared" si="36"/>
        <v>INSERT INTO sy_perm_list (USER_CD, OPT_CD, ACCESS_TYPE, BRANCH_CODE, CLASS_CODE, ENT_BY, ENT_DATE, ENT_BY_IP)</v>
      </c>
      <c r="AF109" s="12" t="str">
        <f t="shared" si="37"/>
        <v>VALUES('08801709','ClientRequests.aspx', 'USER', '01', '08', 'ABDUL', SYSDATE, '10.6.100.63');</v>
      </c>
      <c r="AG109" s="12" t="str">
        <f t="shared" si="38"/>
        <v>INSERT INTO sy_perm_list (USER_CD, OPT_CD, ACCESS_TYPE, BRANCH_CODE, CLASS_CODE, ENT_BY, ENT_DATE, ENT_BY_IP)</v>
      </c>
      <c r="AH109" s="12" t="str">
        <f t="shared" si="39"/>
        <v>VALUES('08801709','HealthLife.aspx', 'USER', '01', '08', 'ABDUL', SYSDATE, '10.6.100.63');</v>
      </c>
      <c r="AI109" s="12" t="str">
        <f t="shared" si="40"/>
        <v>INSERT INTO sy_perm_list (USER_CD, OPT_CD, ACCESS_TYPE, BRANCH_CODE, CLASS_CODE, ENT_BY, ENT_DATE, ENT_BY_IP)</v>
      </c>
      <c r="AJ109" s="12" t="str">
        <f t="shared" si="41"/>
        <v>VALUES('08801709','IpdClaim.aspx', 'USER', '01', '08', 'ABDUL', SYSDATE, '10.6.100.63');</v>
      </c>
      <c r="AK109" s="12" t="str">
        <f t="shared" si="42"/>
        <v>INSERT INTO sy_perm_list (USER_CD, OPT_CD, ACCESS_TYPE, BRANCH_CODE, CLASS_CODE, ENT_BY, ENT_DATE, ENT_BY_IP)</v>
      </c>
      <c r="AL109" s="12" t="str">
        <f t="shared" si="43"/>
        <v>VALUES('08801709','OpdClaim.aspx', 'USER', '01', '08', 'ABDUL', SYSDATE, '10.6.100.63');</v>
      </c>
      <c r="AM109" s="12" t="str">
        <f t="shared" si="44"/>
        <v>INSERT INTO sy_perm_list (USER_CD, OPT_CD, ACCESS_TYPE, BRANCH_CODE, CLASS_CODE, ENT_BY, ENT_DATE, ENT_BY_IP)</v>
      </c>
      <c r="AN109" s="12" t="str">
        <f t="shared" si="45"/>
        <v>VALUES('08801709','RequestDetails.aspx', 'USER', '01', '08', 'ABDUL', SYSDATE, '10.6.100.63');</v>
      </c>
      <c r="AO109" s="12" t="str">
        <f t="shared" si="46"/>
        <v>INSERT INTO sy_perm_list (USER_CD, OPT_CD, ACCESS_TYPE, BRANCH_CODE, CLASS_CODE, ENT_BY, ENT_DATE, ENT_BY_IP)</v>
      </c>
      <c r="AP109" s="12" t="str">
        <f t="shared" si="47"/>
        <v>VALUES('08801709','TodaysRequest.aspx', 'USER', '01', '08', 'ABDUL', SYSDATE, '10.6.100.63');</v>
      </c>
    </row>
    <row r="110" spans="1:42" s="6" customFormat="1" ht="89.25" x14ac:dyDescent="0.2">
      <c r="A110" s="4">
        <v>94</v>
      </c>
      <c r="B110" s="5" t="s">
        <v>745</v>
      </c>
      <c r="C110" s="5">
        <v>9000221</v>
      </c>
      <c r="D110" s="6" t="s">
        <v>285</v>
      </c>
      <c r="E110" s="6" t="s">
        <v>286</v>
      </c>
      <c r="F110" s="5" t="s">
        <v>287</v>
      </c>
      <c r="G110" s="6" t="s">
        <v>288</v>
      </c>
      <c r="H110" s="5" t="s">
        <v>650</v>
      </c>
      <c r="I110" s="5">
        <v>794</v>
      </c>
      <c r="J110" s="5" t="s">
        <v>508</v>
      </c>
      <c r="K110" s="6" t="s">
        <v>821</v>
      </c>
      <c r="L110" s="6" t="s">
        <v>607</v>
      </c>
      <c r="M110" s="6" t="s">
        <v>608</v>
      </c>
      <c r="N110" s="7">
        <v>44256</v>
      </c>
      <c r="O110" s="7">
        <v>44256</v>
      </c>
      <c r="P110" s="7">
        <v>44620</v>
      </c>
      <c r="Q110" s="8">
        <v>12</v>
      </c>
      <c r="R110" s="8">
        <v>23</v>
      </c>
      <c r="S11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0" s="12" t="str">
        <f t="shared" si="25"/>
        <v>VALUES('08801808','MI TECH SERVICES (SMC-PRIVATE) LIMITED','Salaam@123','Y','N',sysdate,'016', 'C', 'Client', 'fahad.shaheryar@meritincentive.com','01','B', '08', 'ABDUL', sysdate, '10.6.100.63', '08801808');</v>
      </c>
      <c r="U110" s="12" t="str">
        <f t="shared" si="26"/>
        <v>INSERT INTO sy_user_branches (USER_CD, BRANCH_CODE, CLASS_CODE, ENT_BY, ENT_DATE, ENT_BY_IP)</v>
      </c>
      <c r="V110" s="12" t="str">
        <f t="shared" si="27"/>
        <v>values('08801808','01', '08', 'ABDUL', sysdate, '10.6.100.63');</v>
      </c>
      <c r="W110" s="12" t="str">
        <f t="shared" si="28"/>
        <v>INSERT INTO sy_perm_list (USER_CD, OPT_CD, ACCESS_TYPE, BRANCH_CODE, CLASS_CODE, ENT_BY, ENT_DATE, ENT_BY_IP)</v>
      </c>
      <c r="X110" s="12" t="str">
        <f t="shared" si="29"/>
        <v>VALUES('08801808','ClaimComments.aspx', 'USER', '01', '08', 'ABDUL', SYSDATE, '10.6.100.63');</v>
      </c>
      <c r="Y110" s="12" t="str">
        <f t="shared" si="30"/>
        <v>INSERT INTO sy_perm_list (USER_CD, OPT_CD, ACCESS_TYPE, BRANCH_CODE, CLASS_CODE, ENT_BY, ENT_DATE, ENT_BY_IP)</v>
      </c>
      <c r="Z110" s="12" t="str">
        <f t="shared" si="31"/>
        <v>VALUES('08801808','ClaimDocs.aspx', 'USER', '01', '08', 'ABDUL', SYSDATE, '10.6.100.63');</v>
      </c>
      <c r="AA110" s="12" t="str">
        <f t="shared" si="32"/>
        <v>INSERT INTO sy_perm_list (USER_CD, OPT_CD, ACCESS_TYPE, BRANCH_CODE, CLASS_CODE, ENT_BY, ENT_DATE, ENT_BY_IP)</v>
      </c>
      <c r="AB110" s="12" t="str">
        <f t="shared" si="33"/>
        <v>VALUES('08801808','Client.aspx', 'USER', '01', '08', 'ABDUL', SYSDATE, '10.6.100.63');</v>
      </c>
      <c r="AC110" s="12" t="str">
        <f t="shared" si="34"/>
        <v>INSERT INTO sy_perm_list (USER_CD, OPT_CD, ACCESS_TYPE, BRANCH_CODE, CLASS_CODE, ENT_BY, ENT_DATE, ENT_BY_IP)</v>
      </c>
      <c r="AD110" s="12" t="str">
        <f t="shared" si="35"/>
        <v>VALUES('08801808','ClientReports.aspx', 'USER', '01', '08', 'ABDUL', SYSDATE, '10.6.100.63');</v>
      </c>
      <c r="AE110" s="12" t="str">
        <f t="shared" si="36"/>
        <v>INSERT INTO sy_perm_list (USER_CD, OPT_CD, ACCESS_TYPE, BRANCH_CODE, CLASS_CODE, ENT_BY, ENT_DATE, ENT_BY_IP)</v>
      </c>
      <c r="AF110" s="12" t="str">
        <f t="shared" si="37"/>
        <v>VALUES('08801808','ClientRequests.aspx', 'USER', '01', '08', 'ABDUL', SYSDATE, '10.6.100.63');</v>
      </c>
      <c r="AG110" s="12" t="str">
        <f t="shared" si="38"/>
        <v>INSERT INTO sy_perm_list (USER_CD, OPT_CD, ACCESS_TYPE, BRANCH_CODE, CLASS_CODE, ENT_BY, ENT_DATE, ENT_BY_IP)</v>
      </c>
      <c r="AH110" s="12" t="str">
        <f t="shared" si="39"/>
        <v>VALUES('08801808','HealthLife.aspx', 'USER', '01', '08', 'ABDUL', SYSDATE, '10.6.100.63');</v>
      </c>
      <c r="AI110" s="12" t="str">
        <f t="shared" si="40"/>
        <v>INSERT INTO sy_perm_list (USER_CD, OPT_CD, ACCESS_TYPE, BRANCH_CODE, CLASS_CODE, ENT_BY, ENT_DATE, ENT_BY_IP)</v>
      </c>
      <c r="AJ110" s="12" t="str">
        <f t="shared" si="41"/>
        <v>VALUES('08801808','IpdClaim.aspx', 'USER', '01', '08', 'ABDUL', SYSDATE, '10.6.100.63');</v>
      </c>
      <c r="AK110" s="12" t="str">
        <f t="shared" si="42"/>
        <v>INSERT INTO sy_perm_list (USER_CD, OPT_CD, ACCESS_TYPE, BRANCH_CODE, CLASS_CODE, ENT_BY, ENT_DATE, ENT_BY_IP)</v>
      </c>
      <c r="AL110" s="12" t="str">
        <f t="shared" si="43"/>
        <v>VALUES('08801808','OpdClaim.aspx', 'USER', '01', '08', 'ABDUL', SYSDATE, '10.6.100.63');</v>
      </c>
      <c r="AM110" s="12" t="str">
        <f t="shared" si="44"/>
        <v>INSERT INTO sy_perm_list (USER_CD, OPT_CD, ACCESS_TYPE, BRANCH_CODE, CLASS_CODE, ENT_BY, ENT_DATE, ENT_BY_IP)</v>
      </c>
      <c r="AN110" s="12" t="str">
        <f t="shared" si="45"/>
        <v>VALUES('08801808','RequestDetails.aspx', 'USER', '01', '08', 'ABDUL', SYSDATE, '10.6.100.63');</v>
      </c>
      <c r="AO110" s="12" t="str">
        <f t="shared" si="46"/>
        <v>INSERT INTO sy_perm_list (USER_CD, OPT_CD, ACCESS_TYPE, BRANCH_CODE, CLASS_CODE, ENT_BY, ENT_DATE, ENT_BY_IP)</v>
      </c>
      <c r="AP110" s="12" t="str">
        <f t="shared" si="47"/>
        <v>VALUES('08801808','TodaysRequest.aspx', 'USER', '01', '08', 'ABDUL', SYSDATE, '10.6.100.63');</v>
      </c>
    </row>
    <row r="111" spans="1:42" s="6" customFormat="1" ht="76.5" x14ac:dyDescent="0.2">
      <c r="A111" s="4">
        <v>95</v>
      </c>
      <c r="B111" s="5" t="s">
        <v>746</v>
      </c>
      <c r="C111" s="5">
        <v>9000248</v>
      </c>
      <c r="D111" s="6" t="s">
        <v>293</v>
      </c>
      <c r="E111" s="6" t="s">
        <v>290</v>
      </c>
      <c r="F111" s="5" t="s">
        <v>287</v>
      </c>
      <c r="G111" s="6" t="s">
        <v>288</v>
      </c>
      <c r="H111" s="5" t="s">
        <v>652</v>
      </c>
      <c r="I111" s="5">
        <v>740</v>
      </c>
      <c r="J111" s="5" t="s">
        <v>455</v>
      </c>
      <c r="K111" s="6" t="s">
        <v>456</v>
      </c>
      <c r="L111" s="6" t="s">
        <v>609</v>
      </c>
      <c r="M111" s="6" t="s">
        <v>610</v>
      </c>
      <c r="N111" s="7">
        <v>44216</v>
      </c>
      <c r="O111" s="7">
        <v>44197</v>
      </c>
      <c r="P111" s="7">
        <v>44561</v>
      </c>
      <c r="Q111" s="8">
        <v>25</v>
      </c>
      <c r="R111" s="8">
        <v>47</v>
      </c>
      <c r="S11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1" s="12" t="str">
        <f t="shared" si="25"/>
        <v>VALUES('08801722','MICROAGILITY SERVICES (PVT.) LIMITED','Salaam@123','Y','N',sysdate,'016', 'C', 'Client', 'musman@maservices-ltd.com','01','B', '08', 'ABDUL', sysdate, '10.6.100.63', '08801722');</v>
      </c>
      <c r="U111" s="12" t="str">
        <f t="shared" si="26"/>
        <v>INSERT INTO sy_user_branches (USER_CD, BRANCH_CODE, CLASS_CODE, ENT_BY, ENT_DATE, ENT_BY_IP)</v>
      </c>
      <c r="V111" s="12" t="str">
        <f t="shared" si="27"/>
        <v>values('08801722','01', '08', 'ABDUL', sysdate, '10.6.100.63');</v>
      </c>
      <c r="W111" s="12" t="str">
        <f t="shared" si="28"/>
        <v>INSERT INTO sy_perm_list (USER_CD, OPT_CD, ACCESS_TYPE, BRANCH_CODE, CLASS_CODE, ENT_BY, ENT_DATE, ENT_BY_IP)</v>
      </c>
      <c r="X111" s="12" t="str">
        <f t="shared" si="29"/>
        <v>VALUES('08801722','ClaimComments.aspx', 'USER', '01', '08', 'ABDUL', SYSDATE, '10.6.100.63');</v>
      </c>
      <c r="Y111" s="12" t="str">
        <f t="shared" si="30"/>
        <v>INSERT INTO sy_perm_list (USER_CD, OPT_CD, ACCESS_TYPE, BRANCH_CODE, CLASS_CODE, ENT_BY, ENT_DATE, ENT_BY_IP)</v>
      </c>
      <c r="Z111" s="12" t="str">
        <f t="shared" si="31"/>
        <v>VALUES('08801722','ClaimDocs.aspx', 'USER', '01', '08', 'ABDUL', SYSDATE, '10.6.100.63');</v>
      </c>
      <c r="AA111" s="12" t="str">
        <f t="shared" si="32"/>
        <v>INSERT INTO sy_perm_list (USER_CD, OPT_CD, ACCESS_TYPE, BRANCH_CODE, CLASS_CODE, ENT_BY, ENT_DATE, ENT_BY_IP)</v>
      </c>
      <c r="AB111" s="12" t="str">
        <f t="shared" si="33"/>
        <v>VALUES('08801722','Client.aspx', 'USER', '01', '08', 'ABDUL', SYSDATE, '10.6.100.63');</v>
      </c>
      <c r="AC111" s="12" t="str">
        <f t="shared" si="34"/>
        <v>INSERT INTO sy_perm_list (USER_CD, OPT_CD, ACCESS_TYPE, BRANCH_CODE, CLASS_CODE, ENT_BY, ENT_DATE, ENT_BY_IP)</v>
      </c>
      <c r="AD111" s="12" t="str">
        <f t="shared" si="35"/>
        <v>VALUES('08801722','ClientReports.aspx', 'USER', '01', '08', 'ABDUL', SYSDATE, '10.6.100.63');</v>
      </c>
      <c r="AE111" s="12" t="str">
        <f t="shared" si="36"/>
        <v>INSERT INTO sy_perm_list (USER_CD, OPT_CD, ACCESS_TYPE, BRANCH_CODE, CLASS_CODE, ENT_BY, ENT_DATE, ENT_BY_IP)</v>
      </c>
      <c r="AF111" s="12" t="str">
        <f t="shared" si="37"/>
        <v>VALUES('08801722','ClientRequests.aspx', 'USER', '01', '08', 'ABDUL', SYSDATE, '10.6.100.63');</v>
      </c>
      <c r="AG111" s="12" t="str">
        <f t="shared" si="38"/>
        <v>INSERT INTO sy_perm_list (USER_CD, OPT_CD, ACCESS_TYPE, BRANCH_CODE, CLASS_CODE, ENT_BY, ENT_DATE, ENT_BY_IP)</v>
      </c>
      <c r="AH111" s="12" t="str">
        <f t="shared" si="39"/>
        <v>VALUES('08801722','HealthLife.aspx', 'USER', '01', '08', 'ABDUL', SYSDATE, '10.6.100.63');</v>
      </c>
      <c r="AI111" s="12" t="str">
        <f t="shared" si="40"/>
        <v>INSERT INTO sy_perm_list (USER_CD, OPT_CD, ACCESS_TYPE, BRANCH_CODE, CLASS_CODE, ENT_BY, ENT_DATE, ENT_BY_IP)</v>
      </c>
      <c r="AJ111" s="12" t="str">
        <f t="shared" si="41"/>
        <v>VALUES('08801722','IpdClaim.aspx', 'USER', '01', '08', 'ABDUL', SYSDATE, '10.6.100.63');</v>
      </c>
      <c r="AK111" s="12" t="str">
        <f t="shared" si="42"/>
        <v>INSERT INTO sy_perm_list (USER_CD, OPT_CD, ACCESS_TYPE, BRANCH_CODE, CLASS_CODE, ENT_BY, ENT_DATE, ENT_BY_IP)</v>
      </c>
      <c r="AL111" s="12" t="str">
        <f t="shared" si="43"/>
        <v>VALUES('08801722','OpdClaim.aspx', 'USER', '01', '08', 'ABDUL', SYSDATE, '10.6.100.63');</v>
      </c>
      <c r="AM111" s="12" t="str">
        <f t="shared" si="44"/>
        <v>INSERT INTO sy_perm_list (USER_CD, OPT_CD, ACCESS_TYPE, BRANCH_CODE, CLASS_CODE, ENT_BY, ENT_DATE, ENT_BY_IP)</v>
      </c>
      <c r="AN111" s="12" t="str">
        <f t="shared" si="45"/>
        <v>VALUES('08801722','RequestDetails.aspx', 'USER', '01', '08', 'ABDUL', SYSDATE, '10.6.100.63');</v>
      </c>
      <c r="AO111" s="12" t="str">
        <f t="shared" si="46"/>
        <v>INSERT INTO sy_perm_list (USER_CD, OPT_CD, ACCESS_TYPE, BRANCH_CODE, CLASS_CODE, ENT_BY, ENT_DATE, ENT_BY_IP)</v>
      </c>
      <c r="AP111" s="12" t="str">
        <f t="shared" si="47"/>
        <v>VALUES('08801722','TodaysRequest.aspx', 'USER', '01', '08', 'ABDUL', SYSDATE, '10.6.100.63');</v>
      </c>
    </row>
    <row r="112" spans="1:42" s="6" customFormat="1" ht="76.5" x14ac:dyDescent="0.2">
      <c r="A112" s="4">
        <v>96</v>
      </c>
      <c r="B112" s="5" t="s">
        <v>747</v>
      </c>
      <c r="C112" s="5">
        <v>9000221</v>
      </c>
      <c r="D112" s="6" t="s">
        <v>285</v>
      </c>
      <c r="E112" s="6" t="s">
        <v>286</v>
      </c>
      <c r="F112" s="5" t="s">
        <v>287</v>
      </c>
      <c r="G112" s="6" t="s">
        <v>288</v>
      </c>
      <c r="H112" s="5" t="s">
        <v>649</v>
      </c>
      <c r="I112" s="5">
        <v>667</v>
      </c>
      <c r="J112" s="5" t="s">
        <v>392</v>
      </c>
      <c r="K112" s="6" t="s">
        <v>5</v>
      </c>
      <c r="L112" s="6" t="s">
        <v>102</v>
      </c>
      <c r="M112" s="6" t="s">
        <v>103</v>
      </c>
      <c r="N112" s="7">
        <v>44148</v>
      </c>
      <c r="O112" s="7">
        <v>44124</v>
      </c>
      <c r="P112" s="7">
        <v>44488</v>
      </c>
      <c r="Q112" s="8">
        <v>87</v>
      </c>
      <c r="R112" s="8">
        <v>266</v>
      </c>
      <c r="S11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2" s="12" t="str">
        <f t="shared" si="25"/>
        <v>VALUES('08004328','MOORE SHEKHA MUFTI','Salaam@123','Y','N',sysdate,'016', 'C', 'Client', 'sohail.ahmed@mooreshekhamufti.com','01','B', '08', 'ABDUL', sysdate, '10.6.100.63', '08004328');</v>
      </c>
      <c r="U112" s="12" t="str">
        <f t="shared" si="26"/>
        <v>INSERT INTO sy_user_branches (USER_CD, BRANCH_CODE, CLASS_CODE, ENT_BY, ENT_DATE, ENT_BY_IP)</v>
      </c>
      <c r="V112" s="12" t="str">
        <f t="shared" si="27"/>
        <v>values('08004328','01', '08', 'ABDUL', sysdate, '10.6.100.63');</v>
      </c>
      <c r="W112" s="12" t="str">
        <f t="shared" si="28"/>
        <v>INSERT INTO sy_perm_list (USER_CD, OPT_CD, ACCESS_TYPE, BRANCH_CODE, CLASS_CODE, ENT_BY, ENT_DATE, ENT_BY_IP)</v>
      </c>
      <c r="X112" s="12" t="str">
        <f t="shared" si="29"/>
        <v>VALUES('08004328','ClaimComments.aspx', 'USER', '01', '08', 'ABDUL', SYSDATE, '10.6.100.63');</v>
      </c>
      <c r="Y112" s="12" t="str">
        <f t="shared" si="30"/>
        <v>INSERT INTO sy_perm_list (USER_CD, OPT_CD, ACCESS_TYPE, BRANCH_CODE, CLASS_CODE, ENT_BY, ENT_DATE, ENT_BY_IP)</v>
      </c>
      <c r="Z112" s="12" t="str">
        <f t="shared" si="31"/>
        <v>VALUES('08004328','ClaimDocs.aspx', 'USER', '01', '08', 'ABDUL', SYSDATE, '10.6.100.63');</v>
      </c>
      <c r="AA112" s="12" t="str">
        <f t="shared" si="32"/>
        <v>INSERT INTO sy_perm_list (USER_CD, OPT_CD, ACCESS_TYPE, BRANCH_CODE, CLASS_CODE, ENT_BY, ENT_DATE, ENT_BY_IP)</v>
      </c>
      <c r="AB112" s="12" t="str">
        <f t="shared" si="33"/>
        <v>VALUES('08004328','Client.aspx', 'USER', '01', '08', 'ABDUL', SYSDATE, '10.6.100.63');</v>
      </c>
      <c r="AC112" s="12" t="str">
        <f t="shared" si="34"/>
        <v>INSERT INTO sy_perm_list (USER_CD, OPT_CD, ACCESS_TYPE, BRANCH_CODE, CLASS_CODE, ENT_BY, ENT_DATE, ENT_BY_IP)</v>
      </c>
      <c r="AD112" s="12" t="str">
        <f t="shared" si="35"/>
        <v>VALUES('08004328','ClientReports.aspx', 'USER', '01', '08', 'ABDUL', SYSDATE, '10.6.100.63');</v>
      </c>
      <c r="AE112" s="12" t="str">
        <f t="shared" si="36"/>
        <v>INSERT INTO sy_perm_list (USER_CD, OPT_CD, ACCESS_TYPE, BRANCH_CODE, CLASS_CODE, ENT_BY, ENT_DATE, ENT_BY_IP)</v>
      </c>
      <c r="AF112" s="12" t="str">
        <f t="shared" si="37"/>
        <v>VALUES('08004328','ClientRequests.aspx', 'USER', '01', '08', 'ABDUL', SYSDATE, '10.6.100.63');</v>
      </c>
      <c r="AG112" s="12" t="str">
        <f t="shared" si="38"/>
        <v>INSERT INTO sy_perm_list (USER_CD, OPT_CD, ACCESS_TYPE, BRANCH_CODE, CLASS_CODE, ENT_BY, ENT_DATE, ENT_BY_IP)</v>
      </c>
      <c r="AH112" s="12" t="str">
        <f t="shared" si="39"/>
        <v>VALUES('08004328','HealthLife.aspx', 'USER', '01', '08', 'ABDUL', SYSDATE, '10.6.100.63');</v>
      </c>
      <c r="AI112" s="12" t="str">
        <f t="shared" si="40"/>
        <v>INSERT INTO sy_perm_list (USER_CD, OPT_CD, ACCESS_TYPE, BRANCH_CODE, CLASS_CODE, ENT_BY, ENT_DATE, ENT_BY_IP)</v>
      </c>
      <c r="AJ112" s="12" t="str">
        <f t="shared" si="41"/>
        <v>VALUES('08004328','IpdClaim.aspx', 'USER', '01', '08', 'ABDUL', SYSDATE, '10.6.100.63');</v>
      </c>
      <c r="AK112" s="12" t="str">
        <f t="shared" si="42"/>
        <v>INSERT INTO sy_perm_list (USER_CD, OPT_CD, ACCESS_TYPE, BRANCH_CODE, CLASS_CODE, ENT_BY, ENT_DATE, ENT_BY_IP)</v>
      </c>
      <c r="AL112" s="12" t="str">
        <f t="shared" si="43"/>
        <v>VALUES('08004328','OpdClaim.aspx', 'USER', '01', '08', 'ABDUL', SYSDATE, '10.6.100.63');</v>
      </c>
      <c r="AM112" s="12" t="str">
        <f t="shared" si="44"/>
        <v>INSERT INTO sy_perm_list (USER_CD, OPT_CD, ACCESS_TYPE, BRANCH_CODE, CLASS_CODE, ENT_BY, ENT_DATE, ENT_BY_IP)</v>
      </c>
      <c r="AN112" s="12" t="str">
        <f t="shared" si="45"/>
        <v>VALUES('08004328','RequestDetails.aspx', 'USER', '01', '08', 'ABDUL', SYSDATE, '10.6.100.63');</v>
      </c>
      <c r="AO112" s="12" t="str">
        <f t="shared" si="46"/>
        <v>INSERT INTO sy_perm_list (USER_CD, OPT_CD, ACCESS_TYPE, BRANCH_CODE, CLASS_CODE, ENT_BY, ENT_DATE, ENT_BY_IP)</v>
      </c>
      <c r="AP112" s="12" t="str">
        <f t="shared" si="47"/>
        <v>VALUES('08004328','TodaysRequest.aspx', 'USER', '01', '08', 'ABDUL', SYSDATE, '10.6.100.63');</v>
      </c>
    </row>
    <row r="113" spans="1:42" s="6" customFormat="1" ht="76.5" x14ac:dyDescent="0.2">
      <c r="A113" s="4">
        <v>97</v>
      </c>
      <c r="B113" s="5" t="s">
        <v>748</v>
      </c>
      <c r="C113" s="5">
        <v>9000218</v>
      </c>
      <c r="D113" s="6" t="s">
        <v>310</v>
      </c>
      <c r="E113" s="6" t="s">
        <v>299</v>
      </c>
      <c r="F113" s="5" t="s">
        <v>287</v>
      </c>
      <c r="G113" s="6" t="s">
        <v>288</v>
      </c>
      <c r="H113" s="5" t="s">
        <v>649</v>
      </c>
      <c r="I113" s="5">
        <v>593</v>
      </c>
      <c r="J113" s="5" t="s">
        <v>336</v>
      </c>
      <c r="K113" s="6" t="s">
        <v>70</v>
      </c>
      <c r="L113" s="6" t="s">
        <v>21</v>
      </c>
      <c r="M113" s="6" t="s">
        <v>22</v>
      </c>
      <c r="N113" s="7">
        <v>44055</v>
      </c>
      <c r="O113" s="7">
        <v>44048</v>
      </c>
      <c r="P113" s="7">
        <v>44412</v>
      </c>
      <c r="Q113" s="8">
        <v>159</v>
      </c>
      <c r="R113" s="8">
        <v>624</v>
      </c>
      <c r="S11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3" s="12" t="str">
        <f t="shared" si="25"/>
        <v>VALUES('08801448','MUHAMMAD ASHRAF PRIVATE LIMITED','Salaam@123','Y','N',sysdate,'016', 'C', 'Client', 'cfo@afleather.com','01','B', '08', 'ABDUL', sysdate, '10.6.100.63', '08801448');</v>
      </c>
      <c r="U113" s="12" t="str">
        <f t="shared" si="26"/>
        <v>INSERT INTO sy_user_branches (USER_CD, BRANCH_CODE, CLASS_CODE, ENT_BY, ENT_DATE, ENT_BY_IP)</v>
      </c>
      <c r="V113" s="12" t="str">
        <f t="shared" si="27"/>
        <v>values('08801448','01', '08', 'ABDUL', sysdate, '10.6.100.63');</v>
      </c>
      <c r="W113" s="12" t="str">
        <f t="shared" si="28"/>
        <v>INSERT INTO sy_perm_list (USER_CD, OPT_CD, ACCESS_TYPE, BRANCH_CODE, CLASS_CODE, ENT_BY, ENT_DATE, ENT_BY_IP)</v>
      </c>
      <c r="X113" s="12" t="str">
        <f t="shared" si="29"/>
        <v>VALUES('08801448','ClaimComments.aspx', 'USER', '01', '08', 'ABDUL', SYSDATE, '10.6.100.63');</v>
      </c>
      <c r="Y113" s="12" t="str">
        <f t="shared" si="30"/>
        <v>INSERT INTO sy_perm_list (USER_CD, OPT_CD, ACCESS_TYPE, BRANCH_CODE, CLASS_CODE, ENT_BY, ENT_DATE, ENT_BY_IP)</v>
      </c>
      <c r="Z113" s="12" t="str">
        <f t="shared" si="31"/>
        <v>VALUES('08801448','ClaimDocs.aspx', 'USER', '01', '08', 'ABDUL', SYSDATE, '10.6.100.63');</v>
      </c>
      <c r="AA113" s="12" t="str">
        <f t="shared" si="32"/>
        <v>INSERT INTO sy_perm_list (USER_CD, OPT_CD, ACCESS_TYPE, BRANCH_CODE, CLASS_CODE, ENT_BY, ENT_DATE, ENT_BY_IP)</v>
      </c>
      <c r="AB113" s="12" t="str">
        <f t="shared" si="33"/>
        <v>VALUES('08801448','Client.aspx', 'USER', '01', '08', 'ABDUL', SYSDATE, '10.6.100.63');</v>
      </c>
      <c r="AC113" s="12" t="str">
        <f t="shared" si="34"/>
        <v>INSERT INTO sy_perm_list (USER_CD, OPT_CD, ACCESS_TYPE, BRANCH_CODE, CLASS_CODE, ENT_BY, ENT_DATE, ENT_BY_IP)</v>
      </c>
      <c r="AD113" s="12" t="str">
        <f t="shared" si="35"/>
        <v>VALUES('08801448','ClientReports.aspx', 'USER', '01', '08', 'ABDUL', SYSDATE, '10.6.100.63');</v>
      </c>
      <c r="AE113" s="12" t="str">
        <f t="shared" si="36"/>
        <v>INSERT INTO sy_perm_list (USER_CD, OPT_CD, ACCESS_TYPE, BRANCH_CODE, CLASS_CODE, ENT_BY, ENT_DATE, ENT_BY_IP)</v>
      </c>
      <c r="AF113" s="12" t="str">
        <f t="shared" si="37"/>
        <v>VALUES('08801448','ClientRequests.aspx', 'USER', '01', '08', 'ABDUL', SYSDATE, '10.6.100.63');</v>
      </c>
      <c r="AG113" s="12" t="str">
        <f t="shared" si="38"/>
        <v>INSERT INTO sy_perm_list (USER_CD, OPT_CD, ACCESS_TYPE, BRANCH_CODE, CLASS_CODE, ENT_BY, ENT_DATE, ENT_BY_IP)</v>
      </c>
      <c r="AH113" s="12" t="str">
        <f t="shared" si="39"/>
        <v>VALUES('08801448','HealthLife.aspx', 'USER', '01', '08', 'ABDUL', SYSDATE, '10.6.100.63');</v>
      </c>
      <c r="AI113" s="12" t="str">
        <f t="shared" si="40"/>
        <v>INSERT INTO sy_perm_list (USER_CD, OPT_CD, ACCESS_TYPE, BRANCH_CODE, CLASS_CODE, ENT_BY, ENT_DATE, ENT_BY_IP)</v>
      </c>
      <c r="AJ113" s="12" t="str">
        <f t="shared" si="41"/>
        <v>VALUES('08801448','IpdClaim.aspx', 'USER', '01', '08', 'ABDUL', SYSDATE, '10.6.100.63');</v>
      </c>
      <c r="AK113" s="12" t="str">
        <f t="shared" si="42"/>
        <v>INSERT INTO sy_perm_list (USER_CD, OPT_CD, ACCESS_TYPE, BRANCH_CODE, CLASS_CODE, ENT_BY, ENT_DATE, ENT_BY_IP)</v>
      </c>
      <c r="AL113" s="12" t="str">
        <f t="shared" si="43"/>
        <v>VALUES('08801448','OpdClaim.aspx', 'USER', '01', '08', 'ABDUL', SYSDATE, '10.6.100.63');</v>
      </c>
      <c r="AM113" s="12" t="str">
        <f t="shared" si="44"/>
        <v>INSERT INTO sy_perm_list (USER_CD, OPT_CD, ACCESS_TYPE, BRANCH_CODE, CLASS_CODE, ENT_BY, ENT_DATE, ENT_BY_IP)</v>
      </c>
      <c r="AN113" s="12" t="str">
        <f t="shared" si="45"/>
        <v>VALUES('08801448','RequestDetails.aspx', 'USER', '01', '08', 'ABDUL', SYSDATE, '10.6.100.63');</v>
      </c>
      <c r="AO113" s="12" t="str">
        <f t="shared" si="46"/>
        <v>INSERT INTO sy_perm_list (USER_CD, OPT_CD, ACCESS_TYPE, BRANCH_CODE, CLASS_CODE, ENT_BY, ENT_DATE, ENT_BY_IP)</v>
      </c>
      <c r="AP113" s="12" t="str">
        <f t="shared" si="47"/>
        <v>VALUES('08801448','TodaysRequest.aspx', 'USER', '01', '08', 'ABDUL', SYSDATE, '10.6.100.63');</v>
      </c>
    </row>
    <row r="114" spans="1:42" s="6" customFormat="1" ht="76.5" x14ac:dyDescent="0.2">
      <c r="A114" s="4">
        <v>98</v>
      </c>
      <c r="B114" s="5" t="s">
        <v>749</v>
      </c>
      <c r="C114" s="5">
        <v>9000218</v>
      </c>
      <c r="D114" s="6" t="s">
        <v>310</v>
      </c>
      <c r="E114" s="6" t="s">
        <v>299</v>
      </c>
      <c r="F114" s="5" t="s">
        <v>287</v>
      </c>
      <c r="G114" s="6" t="s">
        <v>288</v>
      </c>
      <c r="H114" s="5" t="s">
        <v>652</v>
      </c>
      <c r="I114" s="5">
        <v>695</v>
      </c>
      <c r="J114" s="5" t="s">
        <v>409</v>
      </c>
      <c r="K114" s="6" t="s">
        <v>410</v>
      </c>
      <c r="L114" s="6" t="s">
        <v>170</v>
      </c>
      <c r="M114" s="9" t="s">
        <v>818</v>
      </c>
      <c r="N114" s="7">
        <v>44182</v>
      </c>
      <c r="O114" s="7">
        <v>44166</v>
      </c>
      <c r="P114" s="7">
        <v>44530</v>
      </c>
      <c r="Q114" s="8">
        <v>191</v>
      </c>
      <c r="R114" s="8">
        <v>513</v>
      </c>
      <c r="S11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4" s="12" t="str">
        <f t="shared" si="25"/>
        <v>VALUES('08801090','NATIONAL DATA CONSULTANT (PRIVATE) LTD','Salaam@123','Y','N',sysdate,'016', 'C', 'Client', 'madnan@ndctech.net','01','B', '08', 'ABDUL', sysdate, '10.6.100.63', '08801090');</v>
      </c>
      <c r="U114" s="12" t="str">
        <f t="shared" si="26"/>
        <v>INSERT INTO sy_user_branches (USER_CD, BRANCH_CODE, CLASS_CODE, ENT_BY, ENT_DATE, ENT_BY_IP)</v>
      </c>
      <c r="V114" s="12" t="str">
        <f t="shared" si="27"/>
        <v>values('08801090','01', '08', 'ABDUL', sysdate, '10.6.100.63');</v>
      </c>
      <c r="W114" s="12" t="str">
        <f t="shared" si="28"/>
        <v>INSERT INTO sy_perm_list (USER_CD, OPT_CD, ACCESS_TYPE, BRANCH_CODE, CLASS_CODE, ENT_BY, ENT_DATE, ENT_BY_IP)</v>
      </c>
      <c r="X114" s="12" t="str">
        <f t="shared" si="29"/>
        <v>VALUES('08801090','ClaimComments.aspx', 'USER', '01', '08', 'ABDUL', SYSDATE, '10.6.100.63');</v>
      </c>
      <c r="Y114" s="12" t="str">
        <f t="shared" si="30"/>
        <v>INSERT INTO sy_perm_list (USER_CD, OPT_CD, ACCESS_TYPE, BRANCH_CODE, CLASS_CODE, ENT_BY, ENT_DATE, ENT_BY_IP)</v>
      </c>
      <c r="Z114" s="12" t="str">
        <f t="shared" si="31"/>
        <v>VALUES('08801090','ClaimDocs.aspx', 'USER', '01', '08', 'ABDUL', SYSDATE, '10.6.100.63');</v>
      </c>
      <c r="AA114" s="12" t="str">
        <f t="shared" si="32"/>
        <v>INSERT INTO sy_perm_list (USER_CD, OPT_CD, ACCESS_TYPE, BRANCH_CODE, CLASS_CODE, ENT_BY, ENT_DATE, ENT_BY_IP)</v>
      </c>
      <c r="AB114" s="12" t="str">
        <f t="shared" si="33"/>
        <v>VALUES('08801090','Client.aspx', 'USER', '01', '08', 'ABDUL', SYSDATE, '10.6.100.63');</v>
      </c>
      <c r="AC114" s="12" t="str">
        <f t="shared" si="34"/>
        <v>INSERT INTO sy_perm_list (USER_CD, OPT_CD, ACCESS_TYPE, BRANCH_CODE, CLASS_CODE, ENT_BY, ENT_DATE, ENT_BY_IP)</v>
      </c>
      <c r="AD114" s="12" t="str">
        <f t="shared" si="35"/>
        <v>VALUES('08801090','ClientReports.aspx', 'USER', '01', '08', 'ABDUL', SYSDATE, '10.6.100.63');</v>
      </c>
      <c r="AE114" s="12" t="str">
        <f t="shared" si="36"/>
        <v>INSERT INTO sy_perm_list (USER_CD, OPT_CD, ACCESS_TYPE, BRANCH_CODE, CLASS_CODE, ENT_BY, ENT_DATE, ENT_BY_IP)</v>
      </c>
      <c r="AF114" s="12" t="str">
        <f t="shared" si="37"/>
        <v>VALUES('08801090','ClientRequests.aspx', 'USER', '01', '08', 'ABDUL', SYSDATE, '10.6.100.63');</v>
      </c>
      <c r="AG114" s="12" t="str">
        <f t="shared" si="38"/>
        <v>INSERT INTO sy_perm_list (USER_CD, OPT_CD, ACCESS_TYPE, BRANCH_CODE, CLASS_CODE, ENT_BY, ENT_DATE, ENT_BY_IP)</v>
      </c>
      <c r="AH114" s="12" t="str">
        <f t="shared" si="39"/>
        <v>VALUES('08801090','HealthLife.aspx', 'USER', '01', '08', 'ABDUL', SYSDATE, '10.6.100.63');</v>
      </c>
      <c r="AI114" s="12" t="str">
        <f t="shared" si="40"/>
        <v>INSERT INTO sy_perm_list (USER_CD, OPT_CD, ACCESS_TYPE, BRANCH_CODE, CLASS_CODE, ENT_BY, ENT_DATE, ENT_BY_IP)</v>
      </c>
      <c r="AJ114" s="12" t="str">
        <f t="shared" si="41"/>
        <v>VALUES('08801090','IpdClaim.aspx', 'USER', '01', '08', 'ABDUL', SYSDATE, '10.6.100.63');</v>
      </c>
      <c r="AK114" s="12" t="str">
        <f t="shared" si="42"/>
        <v>INSERT INTO sy_perm_list (USER_CD, OPT_CD, ACCESS_TYPE, BRANCH_CODE, CLASS_CODE, ENT_BY, ENT_DATE, ENT_BY_IP)</v>
      </c>
      <c r="AL114" s="12" t="str">
        <f t="shared" si="43"/>
        <v>VALUES('08801090','OpdClaim.aspx', 'USER', '01', '08', 'ABDUL', SYSDATE, '10.6.100.63');</v>
      </c>
      <c r="AM114" s="12" t="str">
        <f t="shared" si="44"/>
        <v>INSERT INTO sy_perm_list (USER_CD, OPT_CD, ACCESS_TYPE, BRANCH_CODE, CLASS_CODE, ENT_BY, ENT_DATE, ENT_BY_IP)</v>
      </c>
      <c r="AN114" s="12" t="str">
        <f t="shared" si="45"/>
        <v>VALUES('08801090','RequestDetails.aspx', 'USER', '01', '08', 'ABDUL', SYSDATE, '10.6.100.63');</v>
      </c>
      <c r="AO114" s="12" t="str">
        <f t="shared" si="46"/>
        <v>INSERT INTO sy_perm_list (USER_CD, OPT_CD, ACCESS_TYPE, BRANCH_CODE, CLASS_CODE, ENT_BY, ENT_DATE, ENT_BY_IP)</v>
      </c>
      <c r="AP114" s="12" t="str">
        <f t="shared" si="47"/>
        <v>VALUES('08801090','TodaysRequest.aspx', 'USER', '01', '08', 'ABDUL', SYSDATE, '10.6.100.63');</v>
      </c>
    </row>
    <row r="115" spans="1:42" s="6" customFormat="1" ht="76.5" x14ac:dyDescent="0.2">
      <c r="A115" s="4">
        <v>99</v>
      </c>
      <c r="B115" s="5" t="s">
        <v>750</v>
      </c>
      <c r="C115" s="5">
        <v>9000250</v>
      </c>
      <c r="D115" s="6" t="s">
        <v>333</v>
      </c>
      <c r="E115" s="6" t="s">
        <v>290</v>
      </c>
      <c r="F115" s="5" t="s">
        <v>287</v>
      </c>
      <c r="G115" s="6" t="s">
        <v>288</v>
      </c>
      <c r="H115" s="5" t="s">
        <v>652</v>
      </c>
      <c r="I115" s="5">
        <v>723</v>
      </c>
      <c r="J115" s="5" t="s">
        <v>430</v>
      </c>
      <c r="K115" s="6" t="s">
        <v>431</v>
      </c>
      <c r="L115" s="6" t="s">
        <v>611</v>
      </c>
      <c r="M115" s="6" t="s">
        <v>612</v>
      </c>
      <c r="N115" s="7">
        <v>44196</v>
      </c>
      <c r="O115" s="7">
        <v>44196</v>
      </c>
      <c r="P115" s="7">
        <v>44561</v>
      </c>
      <c r="Q115" s="8">
        <v>116</v>
      </c>
      <c r="R115" s="8">
        <v>305</v>
      </c>
      <c r="S115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5" s="12" t="str">
        <f t="shared" si="25"/>
        <v>VALUES('08801108','NATIONAL ENGINEERS','Salaam@123','Y','N',sysdate,'016', 'C', 'Client', 'fozia.qadir@ne.com.pk','01','B', '08', 'ABDUL', sysdate, '10.6.100.63', '08801108');</v>
      </c>
      <c r="U115" s="12" t="str">
        <f t="shared" si="26"/>
        <v>INSERT INTO sy_user_branches (USER_CD, BRANCH_CODE, CLASS_CODE, ENT_BY, ENT_DATE, ENT_BY_IP)</v>
      </c>
      <c r="V115" s="12" t="str">
        <f t="shared" si="27"/>
        <v>values('08801108','01', '08', 'ABDUL', sysdate, '10.6.100.63');</v>
      </c>
      <c r="W115" s="12" t="str">
        <f t="shared" si="28"/>
        <v>INSERT INTO sy_perm_list (USER_CD, OPT_CD, ACCESS_TYPE, BRANCH_CODE, CLASS_CODE, ENT_BY, ENT_DATE, ENT_BY_IP)</v>
      </c>
      <c r="X115" s="12" t="str">
        <f t="shared" si="29"/>
        <v>VALUES('08801108','ClaimComments.aspx', 'USER', '01', '08', 'ABDUL', SYSDATE, '10.6.100.63');</v>
      </c>
      <c r="Y115" s="12" t="str">
        <f t="shared" si="30"/>
        <v>INSERT INTO sy_perm_list (USER_CD, OPT_CD, ACCESS_TYPE, BRANCH_CODE, CLASS_CODE, ENT_BY, ENT_DATE, ENT_BY_IP)</v>
      </c>
      <c r="Z115" s="12" t="str">
        <f t="shared" si="31"/>
        <v>VALUES('08801108','ClaimDocs.aspx', 'USER', '01', '08', 'ABDUL', SYSDATE, '10.6.100.63');</v>
      </c>
      <c r="AA115" s="12" t="str">
        <f t="shared" si="32"/>
        <v>INSERT INTO sy_perm_list (USER_CD, OPT_CD, ACCESS_TYPE, BRANCH_CODE, CLASS_CODE, ENT_BY, ENT_DATE, ENT_BY_IP)</v>
      </c>
      <c r="AB115" s="12" t="str">
        <f t="shared" si="33"/>
        <v>VALUES('08801108','Client.aspx', 'USER', '01', '08', 'ABDUL', SYSDATE, '10.6.100.63');</v>
      </c>
      <c r="AC115" s="12" t="str">
        <f t="shared" si="34"/>
        <v>INSERT INTO sy_perm_list (USER_CD, OPT_CD, ACCESS_TYPE, BRANCH_CODE, CLASS_CODE, ENT_BY, ENT_DATE, ENT_BY_IP)</v>
      </c>
      <c r="AD115" s="12" t="str">
        <f t="shared" si="35"/>
        <v>VALUES('08801108','ClientReports.aspx', 'USER', '01', '08', 'ABDUL', SYSDATE, '10.6.100.63');</v>
      </c>
      <c r="AE115" s="12" t="str">
        <f t="shared" si="36"/>
        <v>INSERT INTO sy_perm_list (USER_CD, OPT_CD, ACCESS_TYPE, BRANCH_CODE, CLASS_CODE, ENT_BY, ENT_DATE, ENT_BY_IP)</v>
      </c>
      <c r="AF115" s="12" t="str">
        <f t="shared" si="37"/>
        <v>VALUES('08801108','ClientRequests.aspx', 'USER', '01', '08', 'ABDUL', SYSDATE, '10.6.100.63');</v>
      </c>
      <c r="AG115" s="12" t="str">
        <f t="shared" si="38"/>
        <v>INSERT INTO sy_perm_list (USER_CD, OPT_CD, ACCESS_TYPE, BRANCH_CODE, CLASS_CODE, ENT_BY, ENT_DATE, ENT_BY_IP)</v>
      </c>
      <c r="AH115" s="12" t="str">
        <f t="shared" si="39"/>
        <v>VALUES('08801108','HealthLife.aspx', 'USER', '01', '08', 'ABDUL', SYSDATE, '10.6.100.63');</v>
      </c>
      <c r="AI115" s="12" t="str">
        <f t="shared" si="40"/>
        <v>INSERT INTO sy_perm_list (USER_CD, OPT_CD, ACCESS_TYPE, BRANCH_CODE, CLASS_CODE, ENT_BY, ENT_DATE, ENT_BY_IP)</v>
      </c>
      <c r="AJ115" s="12" t="str">
        <f t="shared" si="41"/>
        <v>VALUES('08801108','IpdClaim.aspx', 'USER', '01', '08', 'ABDUL', SYSDATE, '10.6.100.63');</v>
      </c>
      <c r="AK115" s="12" t="str">
        <f t="shared" si="42"/>
        <v>INSERT INTO sy_perm_list (USER_CD, OPT_CD, ACCESS_TYPE, BRANCH_CODE, CLASS_CODE, ENT_BY, ENT_DATE, ENT_BY_IP)</v>
      </c>
      <c r="AL115" s="12" t="str">
        <f t="shared" si="43"/>
        <v>VALUES('08801108','OpdClaim.aspx', 'USER', '01', '08', 'ABDUL', SYSDATE, '10.6.100.63');</v>
      </c>
      <c r="AM115" s="12" t="str">
        <f t="shared" si="44"/>
        <v>INSERT INTO sy_perm_list (USER_CD, OPT_CD, ACCESS_TYPE, BRANCH_CODE, CLASS_CODE, ENT_BY, ENT_DATE, ENT_BY_IP)</v>
      </c>
      <c r="AN115" s="12" t="str">
        <f t="shared" si="45"/>
        <v>VALUES('08801108','RequestDetails.aspx', 'USER', '01', '08', 'ABDUL', SYSDATE, '10.6.100.63');</v>
      </c>
      <c r="AO115" s="12" t="str">
        <f t="shared" si="46"/>
        <v>INSERT INTO sy_perm_list (USER_CD, OPT_CD, ACCESS_TYPE, BRANCH_CODE, CLASS_CODE, ENT_BY, ENT_DATE, ENT_BY_IP)</v>
      </c>
      <c r="AP115" s="12" t="str">
        <f t="shared" si="47"/>
        <v>VALUES('08801108','TodaysRequest.aspx', 'USER', '01', '08', 'ABDUL', SYSDATE, '10.6.100.63');</v>
      </c>
    </row>
    <row r="116" spans="1:42" s="6" customFormat="1" ht="76.5" x14ac:dyDescent="0.2">
      <c r="A116" s="4">
        <v>100</v>
      </c>
      <c r="B116" s="5" t="s">
        <v>751</v>
      </c>
      <c r="C116" s="5">
        <v>9000218</v>
      </c>
      <c r="D116" s="6" t="s">
        <v>310</v>
      </c>
      <c r="E116" s="6" t="s">
        <v>299</v>
      </c>
      <c r="F116" s="5" t="s">
        <v>287</v>
      </c>
      <c r="G116" s="6" t="s">
        <v>288</v>
      </c>
      <c r="H116" s="5" t="s">
        <v>649</v>
      </c>
      <c r="I116" s="5">
        <v>676</v>
      </c>
      <c r="J116" s="5" t="s">
        <v>401</v>
      </c>
      <c r="K116" s="6" t="s">
        <v>173</v>
      </c>
      <c r="L116" s="6" t="s">
        <v>174</v>
      </c>
      <c r="M116" s="6" t="s">
        <v>175</v>
      </c>
      <c r="N116" s="7">
        <v>44168</v>
      </c>
      <c r="O116" s="7">
        <v>44160</v>
      </c>
      <c r="P116" s="7">
        <v>44524</v>
      </c>
      <c r="Q116" s="8">
        <v>432</v>
      </c>
      <c r="R116" s="8">
        <v>1330</v>
      </c>
      <c r="S116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6" s="12" t="str">
        <f t="shared" si="25"/>
        <v>VALUES('08003226','NAVEENA EXPORTS LIMITED [DENIM UNIT]','Salaam@123','Y','N',sysdate,'016', 'C', 'Client', 'bilal.nisar@naveenagroup.com','01','B', '08', 'ABDUL', sysdate, '10.6.100.63', '08003226');</v>
      </c>
      <c r="U116" s="12" t="str">
        <f t="shared" si="26"/>
        <v>INSERT INTO sy_user_branches (USER_CD, BRANCH_CODE, CLASS_CODE, ENT_BY, ENT_DATE, ENT_BY_IP)</v>
      </c>
      <c r="V116" s="12" t="str">
        <f t="shared" si="27"/>
        <v>values('08003226','01', '08', 'ABDUL', sysdate, '10.6.100.63');</v>
      </c>
      <c r="W116" s="12" t="str">
        <f t="shared" si="28"/>
        <v>INSERT INTO sy_perm_list (USER_CD, OPT_CD, ACCESS_TYPE, BRANCH_CODE, CLASS_CODE, ENT_BY, ENT_DATE, ENT_BY_IP)</v>
      </c>
      <c r="X116" s="12" t="str">
        <f t="shared" si="29"/>
        <v>VALUES('08003226','ClaimComments.aspx', 'USER', '01', '08', 'ABDUL', SYSDATE, '10.6.100.63');</v>
      </c>
      <c r="Y116" s="12" t="str">
        <f t="shared" si="30"/>
        <v>INSERT INTO sy_perm_list (USER_CD, OPT_CD, ACCESS_TYPE, BRANCH_CODE, CLASS_CODE, ENT_BY, ENT_DATE, ENT_BY_IP)</v>
      </c>
      <c r="Z116" s="12" t="str">
        <f t="shared" si="31"/>
        <v>VALUES('08003226','ClaimDocs.aspx', 'USER', '01', '08', 'ABDUL', SYSDATE, '10.6.100.63');</v>
      </c>
      <c r="AA116" s="12" t="str">
        <f t="shared" si="32"/>
        <v>INSERT INTO sy_perm_list (USER_CD, OPT_CD, ACCESS_TYPE, BRANCH_CODE, CLASS_CODE, ENT_BY, ENT_DATE, ENT_BY_IP)</v>
      </c>
      <c r="AB116" s="12" t="str">
        <f t="shared" si="33"/>
        <v>VALUES('08003226','Client.aspx', 'USER', '01', '08', 'ABDUL', SYSDATE, '10.6.100.63');</v>
      </c>
      <c r="AC116" s="12" t="str">
        <f t="shared" si="34"/>
        <v>INSERT INTO sy_perm_list (USER_CD, OPT_CD, ACCESS_TYPE, BRANCH_CODE, CLASS_CODE, ENT_BY, ENT_DATE, ENT_BY_IP)</v>
      </c>
      <c r="AD116" s="12" t="str">
        <f t="shared" si="35"/>
        <v>VALUES('08003226','ClientReports.aspx', 'USER', '01', '08', 'ABDUL', SYSDATE, '10.6.100.63');</v>
      </c>
      <c r="AE116" s="12" t="str">
        <f t="shared" si="36"/>
        <v>INSERT INTO sy_perm_list (USER_CD, OPT_CD, ACCESS_TYPE, BRANCH_CODE, CLASS_CODE, ENT_BY, ENT_DATE, ENT_BY_IP)</v>
      </c>
      <c r="AF116" s="12" t="str">
        <f t="shared" si="37"/>
        <v>VALUES('08003226','ClientRequests.aspx', 'USER', '01', '08', 'ABDUL', SYSDATE, '10.6.100.63');</v>
      </c>
      <c r="AG116" s="12" t="str">
        <f t="shared" si="38"/>
        <v>INSERT INTO sy_perm_list (USER_CD, OPT_CD, ACCESS_TYPE, BRANCH_CODE, CLASS_CODE, ENT_BY, ENT_DATE, ENT_BY_IP)</v>
      </c>
      <c r="AH116" s="12" t="str">
        <f t="shared" si="39"/>
        <v>VALUES('08003226','HealthLife.aspx', 'USER', '01', '08', 'ABDUL', SYSDATE, '10.6.100.63');</v>
      </c>
      <c r="AI116" s="12" t="str">
        <f t="shared" si="40"/>
        <v>INSERT INTO sy_perm_list (USER_CD, OPT_CD, ACCESS_TYPE, BRANCH_CODE, CLASS_CODE, ENT_BY, ENT_DATE, ENT_BY_IP)</v>
      </c>
      <c r="AJ116" s="12" t="str">
        <f t="shared" si="41"/>
        <v>VALUES('08003226','IpdClaim.aspx', 'USER', '01', '08', 'ABDUL', SYSDATE, '10.6.100.63');</v>
      </c>
      <c r="AK116" s="12" t="str">
        <f t="shared" si="42"/>
        <v>INSERT INTO sy_perm_list (USER_CD, OPT_CD, ACCESS_TYPE, BRANCH_CODE, CLASS_CODE, ENT_BY, ENT_DATE, ENT_BY_IP)</v>
      </c>
      <c r="AL116" s="12" t="str">
        <f t="shared" si="43"/>
        <v>VALUES('08003226','OpdClaim.aspx', 'USER', '01', '08', 'ABDUL', SYSDATE, '10.6.100.63');</v>
      </c>
      <c r="AM116" s="12" t="str">
        <f t="shared" si="44"/>
        <v>INSERT INTO sy_perm_list (USER_CD, OPT_CD, ACCESS_TYPE, BRANCH_CODE, CLASS_CODE, ENT_BY, ENT_DATE, ENT_BY_IP)</v>
      </c>
      <c r="AN116" s="12" t="str">
        <f t="shared" si="45"/>
        <v>VALUES('08003226','RequestDetails.aspx', 'USER', '01', '08', 'ABDUL', SYSDATE, '10.6.100.63');</v>
      </c>
      <c r="AO116" s="12" t="str">
        <f t="shared" si="46"/>
        <v>INSERT INTO sy_perm_list (USER_CD, OPT_CD, ACCESS_TYPE, BRANCH_CODE, CLASS_CODE, ENT_BY, ENT_DATE, ENT_BY_IP)</v>
      </c>
      <c r="AP116" s="12" t="str">
        <f t="shared" si="47"/>
        <v>VALUES('08003226','TodaysRequest.aspx', 'USER', '01', '08', 'ABDUL', SYSDATE, '10.6.100.63');</v>
      </c>
    </row>
    <row r="117" spans="1:42" s="6" customFormat="1" ht="76.5" x14ac:dyDescent="0.2">
      <c r="A117" s="4">
        <v>101</v>
      </c>
      <c r="B117" s="5" t="s">
        <v>752</v>
      </c>
      <c r="C117" s="5">
        <v>9000257</v>
      </c>
      <c r="D117" s="6" t="s">
        <v>362</v>
      </c>
      <c r="E117" s="6" t="s">
        <v>314</v>
      </c>
      <c r="F117" s="5" t="s">
        <v>287</v>
      </c>
      <c r="G117" s="6" t="s">
        <v>288</v>
      </c>
      <c r="H117" s="5" t="s">
        <v>649</v>
      </c>
      <c r="I117" s="5">
        <v>623</v>
      </c>
      <c r="J117" s="5" t="s">
        <v>363</v>
      </c>
      <c r="K117" s="6" t="s">
        <v>252</v>
      </c>
      <c r="L117" s="6" t="s">
        <v>241</v>
      </c>
      <c r="M117" s="6" t="s">
        <v>242</v>
      </c>
      <c r="N117" s="7">
        <v>44097</v>
      </c>
      <c r="O117" s="7">
        <v>44075</v>
      </c>
      <c r="P117" s="7">
        <v>44439</v>
      </c>
      <c r="Q117" s="8">
        <v>96</v>
      </c>
      <c r="R117" s="8">
        <v>366</v>
      </c>
      <c r="S117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7" s="12" t="str">
        <f t="shared" si="25"/>
        <v>VALUES('08800883','NAYA JEEVAN - DRIVE TO HEALTH','Salaam@123','Y','N',sysdate,'016', 'C', 'Client', 'faraz.khan@njfk.org','01','B', '08', 'ABDUL', sysdate, '10.6.100.63', '08800883');</v>
      </c>
      <c r="U117" s="12" t="str">
        <f t="shared" si="26"/>
        <v>INSERT INTO sy_user_branches (USER_CD, BRANCH_CODE, CLASS_CODE, ENT_BY, ENT_DATE, ENT_BY_IP)</v>
      </c>
      <c r="V117" s="12" t="str">
        <f t="shared" si="27"/>
        <v>values('08800883','01', '08', 'ABDUL', sysdate, '10.6.100.63');</v>
      </c>
      <c r="W117" s="12" t="str">
        <f t="shared" si="28"/>
        <v>INSERT INTO sy_perm_list (USER_CD, OPT_CD, ACCESS_TYPE, BRANCH_CODE, CLASS_CODE, ENT_BY, ENT_DATE, ENT_BY_IP)</v>
      </c>
      <c r="X117" s="12" t="str">
        <f t="shared" si="29"/>
        <v>VALUES('08800883','ClaimComments.aspx', 'USER', '01', '08', 'ABDUL', SYSDATE, '10.6.100.63');</v>
      </c>
      <c r="Y117" s="12" t="str">
        <f t="shared" si="30"/>
        <v>INSERT INTO sy_perm_list (USER_CD, OPT_CD, ACCESS_TYPE, BRANCH_CODE, CLASS_CODE, ENT_BY, ENT_DATE, ENT_BY_IP)</v>
      </c>
      <c r="Z117" s="12" t="str">
        <f t="shared" si="31"/>
        <v>VALUES('08800883','ClaimDocs.aspx', 'USER', '01', '08', 'ABDUL', SYSDATE, '10.6.100.63');</v>
      </c>
      <c r="AA117" s="12" t="str">
        <f t="shared" si="32"/>
        <v>INSERT INTO sy_perm_list (USER_CD, OPT_CD, ACCESS_TYPE, BRANCH_CODE, CLASS_CODE, ENT_BY, ENT_DATE, ENT_BY_IP)</v>
      </c>
      <c r="AB117" s="12" t="str">
        <f t="shared" si="33"/>
        <v>VALUES('08800883','Client.aspx', 'USER', '01', '08', 'ABDUL', SYSDATE, '10.6.100.63');</v>
      </c>
      <c r="AC117" s="12" t="str">
        <f t="shared" si="34"/>
        <v>INSERT INTO sy_perm_list (USER_CD, OPT_CD, ACCESS_TYPE, BRANCH_CODE, CLASS_CODE, ENT_BY, ENT_DATE, ENT_BY_IP)</v>
      </c>
      <c r="AD117" s="12" t="str">
        <f t="shared" si="35"/>
        <v>VALUES('08800883','ClientReports.aspx', 'USER', '01', '08', 'ABDUL', SYSDATE, '10.6.100.63');</v>
      </c>
      <c r="AE117" s="12" t="str">
        <f t="shared" si="36"/>
        <v>INSERT INTO sy_perm_list (USER_CD, OPT_CD, ACCESS_TYPE, BRANCH_CODE, CLASS_CODE, ENT_BY, ENT_DATE, ENT_BY_IP)</v>
      </c>
      <c r="AF117" s="12" t="str">
        <f t="shared" si="37"/>
        <v>VALUES('08800883','ClientRequests.aspx', 'USER', '01', '08', 'ABDUL', SYSDATE, '10.6.100.63');</v>
      </c>
      <c r="AG117" s="12" t="str">
        <f t="shared" si="38"/>
        <v>INSERT INTO sy_perm_list (USER_CD, OPT_CD, ACCESS_TYPE, BRANCH_CODE, CLASS_CODE, ENT_BY, ENT_DATE, ENT_BY_IP)</v>
      </c>
      <c r="AH117" s="12" t="str">
        <f t="shared" si="39"/>
        <v>VALUES('08800883','HealthLife.aspx', 'USER', '01', '08', 'ABDUL', SYSDATE, '10.6.100.63');</v>
      </c>
      <c r="AI117" s="12" t="str">
        <f t="shared" si="40"/>
        <v>INSERT INTO sy_perm_list (USER_CD, OPT_CD, ACCESS_TYPE, BRANCH_CODE, CLASS_CODE, ENT_BY, ENT_DATE, ENT_BY_IP)</v>
      </c>
      <c r="AJ117" s="12" t="str">
        <f t="shared" si="41"/>
        <v>VALUES('08800883','IpdClaim.aspx', 'USER', '01', '08', 'ABDUL', SYSDATE, '10.6.100.63');</v>
      </c>
      <c r="AK117" s="12" t="str">
        <f t="shared" si="42"/>
        <v>INSERT INTO sy_perm_list (USER_CD, OPT_CD, ACCESS_TYPE, BRANCH_CODE, CLASS_CODE, ENT_BY, ENT_DATE, ENT_BY_IP)</v>
      </c>
      <c r="AL117" s="12" t="str">
        <f t="shared" si="43"/>
        <v>VALUES('08800883','OpdClaim.aspx', 'USER', '01', '08', 'ABDUL', SYSDATE, '10.6.100.63');</v>
      </c>
      <c r="AM117" s="12" t="str">
        <f t="shared" si="44"/>
        <v>INSERT INTO sy_perm_list (USER_CD, OPT_CD, ACCESS_TYPE, BRANCH_CODE, CLASS_CODE, ENT_BY, ENT_DATE, ENT_BY_IP)</v>
      </c>
      <c r="AN117" s="12" t="str">
        <f t="shared" si="45"/>
        <v>VALUES('08800883','RequestDetails.aspx', 'USER', '01', '08', 'ABDUL', SYSDATE, '10.6.100.63');</v>
      </c>
      <c r="AO117" s="12" t="str">
        <f t="shared" si="46"/>
        <v>INSERT INTO sy_perm_list (USER_CD, OPT_CD, ACCESS_TYPE, BRANCH_CODE, CLASS_CODE, ENT_BY, ENT_DATE, ENT_BY_IP)</v>
      </c>
      <c r="AP117" s="12" t="str">
        <f t="shared" si="47"/>
        <v>VALUES('08800883','TodaysRequest.aspx', 'USER', '01', '08', 'ABDUL', SYSDATE, '10.6.100.63');</v>
      </c>
    </row>
    <row r="118" spans="1:42" s="6" customFormat="1" ht="76.5" x14ac:dyDescent="0.2">
      <c r="A118" s="4">
        <v>102</v>
      </c>
      <c r="B118" s="5" t="s">
        <v>753</v>
      </c>
      <c r="C118" s="5">
        <v>9000230</v>
      </c>
      <c r="D118" s="6" t="s">
        <v>494</v>
      </c>
      <c r="E118" s="6" t="s">
        <v>299</v>
      </c>
      <c r="F118" s="5" t="s">
        <v>287</v>
      </c>
      <c r="G118" s="6" t="s">
        <v>288</v>
      </c>
      <c r="H118" s="5" t="s">
        <v>649</v>
      </c>
      <c r="I118" s="5">
        <v>776</v>
      </c>
      <c r="J118" s="5" t="s">
        <v>501</v>
      </c>
      <c r="K118" s="6" t="s">
        <v>502</v>
      </c>
      <c r="L118" s="6" t="s">
        <v>145</v>
      </c>
      <c r="M118" s="6" t="s">
        <v>146</v>
      </c>
      <c r="N118" s="7">
        <v>44245</v>
      </c>
      <c r="O118" s="7">
        <v>44197</v>
      </c>
      <c r="P118" s="7">
        <v>44561</v>
      </c>
      <c r="Q118" s="8">
        <v>194</v>
      </c>
      <c r="R118" s="8">
        <v>613</v>
      </c>
      <c r="S11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8" s="12" t="str">
        <f t="shared" si="25"/>
        <v>VALUES('08004326','NELSON PAINTS INDUSTRIES (PVT) LIMITED','Salaam@123','Y','N',sysdate,'016', 'C', 'Client', 'faisal-hr@nelsonpaints.com ','01','B', '08', 'ABDUL', sysdate, '10.6.100.63', '08004326');</v>
      </c>
      <c r="U118" s="12" t="str">
        <f t="shared" si="26"/>
        <v>INSERT INTO sy_user_branches (USER_CD, BRANCH_CODE, CLASS_CODE, ENT_BY, ENT_DATE, ENT_BY_IP)</v>
      </c>
      <c r="V118" s="12" t="str">
        <f t="shared" si="27"/>
        <v>values('08004326','01', '08', 'ABDUL', sysdate, '10.6.100.63');</v>
      </c>
      <c r="W118" s="12" t="str">
        <f t="shared" si="28"/>
        <v>INSERT INTO sy_perm_list (USER_CD, OPT_CD, ACCESS_TYPE, BRANCH_CODE, CLASS_CODE, ENT_BY, ENT_DATE, ENT_BY_IP)</v>
      </c>
      <c r="X118" s="12" t="str">
        <f t="shared" si="29"/>
        <v>VALUES('08004326','ClaimComments.aspx', 'USER', '01', '08', 'ABDUL', SYSDATE, '10.6.100.63');</v>
      </c>
      <c r="Y118" s="12" t="str">
        <f t="shared" si="30"/>
        <v>INSERT INTO sy_perm_list (USER_CD, OPT_CD, ACCESS_TYPE, BRANCH_CODE, CLASS_CODE, ENT_BY, ENT_DATE, ENT_BY_IP)</v>
      </c>
      <c r="Z118" s="12" t="str">
        <f t="shared" si="31"/>
        <v>VALUES('08004326','ClaimDocs.aspx', 'USER', '01', '08', 'ABDUL', SYSDATE, '10.6.100.63');</v>
      </c>
      <c r="AA118" s="12" t="str">
        <f t="shared" si="32"/>
        <v>INSERT INTO sy_perm_list (USER_CD, OPT_CD, ACCESS_TYPE, BRANCH_CODE, CLASS_CODE, ENT_BY, ENT_DATE, ENT_BY_IP)</v>
      </c>
      <c r="AB118" s="12" t="str">
        <f t="shared" si="33"/>
        <v>VALUES('08004326','Client.aspx', 'USER', '01', '08', 'ABDUL', SYSDATE, '10.6.100.63');</v>
      </c>
      <c r="AC118" s="12" t="str">
        <f t="shared" si="34"/>
        <v>INSERT INTO sy_perm_list (USER_CD, OPT_CD, ACCESS_TYPE, BRANCH_CODE, CLASS_CODE, ENT_BY, ENT_DATE, ENT_BY_IP)</v>
      </c>
      <c r="AD118" s="12" t="str">
        <f t="shared" si="35"/>
        <v>VALUES('08004326','ClientReports.aspx', 'USER', '01', '08', 'ABDUL', SYSDATE, '10.6.100.63');</v>
      </c>
      <c r="AE118" s="12" t="str">
        <f t="shared" si="36"/>
        <v>INSERT INTO sy_perm_list (USER_CD, OPT_CD, ACCESS_TYPE, BRANCH_CODE, CLASS_CODE, ENT_BY, ENT_DATE, ENT_BY_IP)</v>
      </c>
      <c r="AF118" s="12" t="str">
        <f t="shared" si="37"/>
        <v>VALUES('08004326','ClientRequests.aspx', 'USER', '01', '08', 'ABDUL', SYSDATE, '10.6.100.63');</v>
      </c>
      <c r="AG118" s="12" t="str">
        <f t="shared" si="38"/>
        <v>INSERT INTO sy_perm_list (USER_CD, OPT_CD, ACCESS_TYPE, BRANCH_CODE, CLASS_CODE, ENT_BY, ENT_DATE, ENT_BY_IP)</v>
      </c>
      <c r="AH118" s="12" t="str">
        <f t="shared" si="39"/>
        <v>VALUES('08004326','HealthLife.aspx', 'USER', '01', '08', 'ABDUL', SYSDATE, '10.6.100.63');</v>
      </c>
      <c r="AI118" s="12" t="str">
        <f t="shared" si="40"/>
        <v>INSERT INTO sy_perm_list (USER_CD, OPT_CD, ACCESS_TYPE, BRANCH_CODE, CLASS_CODE, ENT_BY, ENT_DATE, ENT_BY_IP)</v>
      </c>
      <c r="AJ118" s="12" t="str">
        <f t="shared" si="41"/>
        <v>VALUES('08004326','IpdClaim.aspx', 'USER', '01', '08', 'ABDUL', SYSDATE, '10.6.100.63');</v>
      </c>
      <c r="AK118" s="12" t="str">
        <f t="shared" si="42"/>
        <v>INSERT INTO sy_perm_list (USER_CD, OPT_CD, ACCESS_TYPE, BRANCH_CODE, CLASS_CODE, ENT_BY, ENT_DATE, ENT_BY_IP)</v>
      </c>
      <c r="AL118" s="12" t="str">
        <f t="shared" si="43"/>
        <v>VALUES('08004326','OpdClaim.aspx', 'USER', '01', '08', 'ABDUL', SYSDATE, '10.6.100.63');</v>
      </c>
      <c r="AM118" s="12" t="str">
        <f t="shared" si="44"/>
        <v>INSERT INTO sy_perm_list (USER_CD, OPT_CD, ACCESS_TYPE, BRANCH_CODE, CLASS_CODE, ENT_BY, ENT_DATE, ENT_BY_IP)</v>
      </c>
      <c r="AN118" s="12" t="str">
        <f t="shared" si="45"/>
        <v>VALUES('08004326','RequestDetails.aspx', 'USER', '01', '08', 'ABDUL', SYSDATE, '10.6.100.63');</v>
      </c>
      <c r="AO118" s="12" t="str">
        <f t="shared" si="46"/>
        <v>INSERT INTO sy_perm_list (USER_CD, OPT_CD, ACCESS_TYPE, BRANCH_CODE, CLASS_CODE, ENT_BY, ENT_DATE, ENT_BY_IP)</v>
      </c>
      <c r="AP118" s="12" t="str">
        <f t="shared" si="47"/>
        <v>VALUES('08004326','TodaysRequest.aspx', 'USER', '01', '08', 'ABDUL', SYSDATE, '10.6.100.63');</v>
      </c>
    </row>
    <row r="119" spans="1:42" s="6" customFormat="1" ht="76.5" x14ac:dyDescent="0.2">
      <c r="A119" s="4">
        <v>103</v>
      </c>
      <c r="B119" s="5" t="s">
        <v>754</v>
      </c>
      <c r="C119" s="5">
        <v>9000230</v>
      </c>
      <c r="D119" s="6" t="s">
        <v>494</v>
      </c>
      <c r="E119" s="6" t="s">
        <v>299</v>
      </c>
      <c r="F119" s="5" t="s">
        <v>287</v>
      </c>
      <c r="G119" s="6" t="s">
        <v>288</v>
      </c>
      <c r="H119" s="5" t="s">
        <v>649</v>
      </c>
      <c r="I119" s="5">
        <v>777</v>
      </c>
      <c r="J119" s="5" t="s">
        <v>497</v>
      </c>
      <c r="K119" s="6" t="s">
        <v>498</v>
      </c>
      <c r="L119" s="6" t="s">
        <v>145</v>
      </c>
      <c r="M119" s="6" t="s">
        <v>146</v>
      </c>
      <c r="N119" s="7">
        <v>44245</v>
      </c>
      <c r="O119" s="7">
        <v>44197</v>
      </c>
      <c r="P119" s="7">
        <v>44561</v>
      </c>
      <c r="Q119" s="8">
        <v>21</v>
      </c>
      <c r="R119" s="8">
        <v>36</v>
      </c>
      <c r="S119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19" s="12" t="str">
        <f t="shared" si="25"/>
        <v>VALUES('08801199','NELSON STUDIO CORPORATION','Salaam@123','Y','N',sysdate,'016', 'C', 'Client', 'faisal-hr@nelsonpaints.com ','01','B', '08', 'ABDUL', sysdate, '10.6.100.63', '08801199');</v>
      </c>
      <c r="U119" s="12" t="str">
        <f t="shared" si="26"/>
        <v>INSERT INTO sy_user_branches (USER_CD, BRANCH_CODE, CLASS_CODE, ENT_BY, ENT_DATE, ENT_BY_IP)</v>
      </c>
      <c r="V119" s="12" t="str">
        <f t="shared" si="27"/>
        <v>values('08801199','01', '08', 'ABDUL', sysdate, '10.6.100.63');</v>
      </c>
      <c r="W119" s="12" t="str">
        <f t="shared" si="28"/>
        <v>INSERT INTO sy_perm_list (USER_CD, OPT_CD, ACCESS_TYPE, BRANCH_CODE, CLASS_CODE, ENT_BY, ENT_DATE, ENT_BY_IP)</v>
      </c>
      <c r="X119" s="12" t="str">
        <f t="shared" si="29"/>
        <v>VALUES('08801199','ClaimComments.aspx', 'USER', '01', '08', 'ABDUL', SYSDATE, '10.6.100.63');</v>
      </c>
      <c r="Y119" s="12" t="str">
        <f t="shared" si="30"/>
        <v>INSERT INTO sy_perm_list (USER_CD, OPT_CD, ACCESS_TYPE, BRANCH_CODE, CLASS_CODE, ENT_BY, ENT_DATE, ENT_BY_IP)</v>
      </c>
      <c r="Z119" s="12" t="str">
        <f t="shared" si="31"/>
        <v>VALUES('08801199','ClaimDocs.aspx', 'USER', '01', '08', 'ABDUL', SYSDATE, '10.6.100.63');</v>
      </c>
      <c r="AA119" s="12" t="str">
        <f t="shared" si="32"/>
        <v>INSERT INTO sy_perm_list (USER_CD, OPT_CD, ACCESS_TYPE, BRANCH_CODE, CLASS_CODE, ENT_BY, ENT_DATE, ENT_BY_IP)</v>
      </c>
      <c r="AB119" s="12" t="str">
        <f t="shared" si="33"/>
        <v>VALUES('08801199','Client.aspx', 'USER', '01', '08', 'ABDUL', SYSDATE, '10.6.100.63');</v>
      </c>
      <c r="AC119" s="12" t="str">
        <f t="shared" si="34"/>
        <v>INSERT INTO sy_perm_list (USER_CD, OPT_CD, ACCESS_TYPE, BRANCH_CODE, CLASS_CODE, ENT_BY, ENT_DATE, ENT_BY_IP)</v>
      </c>
      <c r="AD119" s="12" t="str">
        <f t="shared" si="35"/>
        <v>VALUES('08801199','ClientReports.aspx', 'USER', '01', '08', 'ABDUL', SYSDATE, '10.6.100.63');</v>
      </c>
      <c r="AE119" s="12" t="str">
        <f t="shared" si="36"/>
        <v>INSERT INTO sy_perm_list (USER_CD, OPT_CD, ACCESS_TYPE, BRANCH_CODE, CLASS_CODE, ENT_BY, ENT_DATE, ENT_BY_IP)</v>
      </c>
      <c r="AF119" s="12" t="str">
        <f t="shared" si="37"/>
        <v>VALUES('08801199','ClientRequests.aspx', 'USER', '01', '08', 'ABDUL', SYSDATE, '10.6.100.63');</v>
      </c>
      <c r="AG119" s="12" t="str">
        <f t="shared" si="38"/>
        <v>INSERT INTO sy_perm_list (USER_CD, OPT_CD, ACCESS_TYPE, BRANCH_CODE, CLASS_CODE, ENT_BY, ENT_DATE, ENT_BY_IP)</v>
      </c>
      <c r="AH119" s="12" t="str">
        <f t="shared" si="39"/>
        <v>VALUES('08801199','HealthLife.aspx', 'USER', '01', '08', 'ABDUL', SYSDATE, '10.6.100.63');</v>
      </c>
      <c r="AI119" s="12" t="str">
        <f t="shared" si="40"/>
        <v>INSERT INTO sy_perm_list (USER_CD, OPT_CD, ACCESS_TYPE, BRANCH_CODE, CLASS_CODE, ENT_BY, ENT_DATE, ENT_BY_IP)</v>
      </c>
      <c r="AJ119" s="12" t="str">
        <f t="shared" si="41"/>
        <v>VALUES('08801199','IpdClaim.aspx', 'USER', '01', '08', 'ABDUL', SYSDATE, '10.6.100.63');</v>
      </c>
      <c r="AK119" s="12" t="str">
        <f t="shared" si="42"/>
        <v>INSERT INTO sy_perm_list (USER_CD, OPT_CD, ACCESS_TYPE, BRANCH_CODE, CLASS_CODE, ENT_BY, ENT_DATE, ENT_BY_IP)</v>
      </c>
      <c r="AL119" s="12" t="str">
        <f t="shared" si="43"/>
        <v>VALUES('08801199','OpdClaim.aspx', 'USER', '01', '08', 'ABDUL', SYSDATE, '10.6.100.63');</v>
      </c>
      <c r="AM119" s="12" t="str">
        <f t="shared" si="44"/>
        <v>INSERT INTO sy_perm_list (USER_CD, OPT_CD, ACCESS_TYPE, BRANCH_CODE, CLASS_CODE, ENT_BY, ENT_DATE, ENT_BY_IP)</v>
      </c>
      <c r="AN119" s="12" t="str">
        <f t="shared" si="45"/>
        <v>VALUES('08801199','RequestDetails.aspx', 'USER', '01', '08', 'ABDUL', SYSDATE, '10.6.100.63');</v>
      </c>
      <c r="AO119" s="12" t="str">
        <f t="shared" si="46"/>
        <v>INSERT INTO sy_perm_list (USER_CD, OPT_CD, ACCESS_TYPE, BRANCH_CODE, CLASS_CODE, ENT_BY, ENT_DATE, ENT_BY_IP)</v>
      </c>
      <c r="AP119" s="12" t="str">
        <f t="shared" si="47"/>
        <v>VALUES('08801199','TodaysRequest.aspx', 'USER', '01', '08', 'ABDUL', SYSDATE, '10.6.100.63');</v>
      </c>
    </row>
    <row r="120" spans="1:42" s="6" customFormat="1" ht="76.5" x14ac:dyDescent="0.2">
      <c r="A120" s="4">
        <v>104</v>
      </c>
      <c r="B120" s="5" t="s">
        <v>755</v>
      </c>
      <c r="C120" s="5">
        <v>9000248</v>
      </c>
      <c r="D120" s="6" t="s">
        <v>293</v>
      </c>
      <c r="E120" s="6" t="s">
        <v>290</v>
      </c>
      <c r="F120" s="5" t="s">
        <v>287</v>
      </c>
      <c r="G120" s="6" t="s">
        <v>288</v>
      </c>
      <c r="H120" s="5" t="s">
        <v>652</v>
      </c>
      <c r="I120" s="5">
        <v>546</v>
      </c>
      <c r="J120" s="5" t="s">
        <v>319</v>
      </c>
      <c r="K120" s="6" t="s">
        <v>320</v>
      </c>
      <c r="L120" s="6" t="s">
        <v>613</v>
      </c>
      <c r="M120" s="6" t="s">
        <v>614</v>
      </c>
      <c r="N120" s="7">
        <v>44012</v>
      </c>
      <c r="O120" s="7">
        <v>44013</v>
      </c>
      <c r="P120" s="7">
        <v>44377</v>
      </c>
      <c r="Q120" s="8">
        <v>804</v>
      </c>
      <c r="R120" s="8">
        <v>991</v>
      </c>
      <c r="S12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0" s="12" t="str">
        <f t="shared" si="25"/>
        <v>VALUES('08801362','NETKOM TECHNOLOGIES (PRIVATE) LIMITED','Salaam@123','Y','N',sysdate,'016', 'C', 'Client', 'syed.rehan@netkom.com.pk','01','B', '08', 'ABDUL', sysdate, '10.6.100.63', '08801362');</v>
      </c>
      <c r="U120" s="12" t="str">
        <f t="shared" si="26"/>
        <v>INSERT INTO sy_user_branches (USER_CD, BRANCH_CODE, CLASS_CODE, ENT_BY, ENT_DATE, ENT_BY_IP)</v>
      </c>
      <c r="V120" s="12" t="str">
        <f t="shared" si="27"/>
        <v>values('08801362','01', '08', 'ABDUL', sysdate, '10.6.100.63');</v>
      </c>
      <c r="W120" s="12" t="str">
        <f t="shared" si="28"/>
        <v>INSERT INTO sy_perm_list (USER_CD, OPT_CD, ACCESS_TYPE, BRANCH_CODE, CLASS_CODE, ENT_BY, ENT_DATE, ENT_BY_IP)</v>
      </c>
      <c r="X120" s="12" t="str">
        <f t="shared" si="29"/>
        <v>VALUES('08801362','ClaimComments.aspx', 'USER', '01', '08', 'ABDUL', SYSDATE, '10.6.100.63');</v>
      </c>
      <c r="Y120" s="12" t="str">
        <f t="shared" si="30"/>
        <v>INSERT INTO sy_perm_list (USER_CD, OPT_CD, ACCESS_TYPE, BRANCH_CODE, CLASS_CODE, ENT_BY, ENT_DATE, ENT_BY_IP)</v>
      </c>
      <c r="Z120" s="12" t="str">
        <f t="shared" si="31"/>
        <v>VALUES('08801362','ClaimDocs.aspx', 'USER', '01', '08', 'ABDUL', SYSDATE, '10.6.100.63');</v>
      </c>
      <c r="AA120" s="12" t="str">
        <f t="shared" si="32"/>
        <v>INSERT INTO sy_perm_list (USER_CD, OPT_CD, ACCESS_TYPE, BRANCH_CODE, CLASS_CODE, ENT_BY, ENT_DATE, ENT_BY_IP)</v>
      </c>
      <c r="AB120" s="12" t="str">
        <f t="shared" si="33"/>
        <v>VALUES('08801362','Client.aspx', 'USER', '01', '08', 'ABDUL', SYSDATE, '10.6.100.63');</v>
      </c>
      <c r="AC120" s="12" t="str">
        <f t="shared" si="34"/>
        <v>INSERT INTO sy_perm_list (USER_CD, OPT_CD, ACCESS_TYPE, BRANCH_CODE, CLASS_CODE, ENT_BY, ENT_DATE, ENT_BY_IP)</v>
      </c>
      <c r="AD120" s="12" t="str">
        <f t="shared" si="35"/>
        <v>VALUES('08801362','ClientReports.aspx', 'USER', '01', '08', 'ABDUL', SYSDATE, '10.6.100.63');</v>
      </c>
      <c r="AE120" s="12" t="str">
        <f t="shared" si="36"/>
        <v>INSERT INTO sy_perm_list (USER_CD, OPT_CD, ACCESS_TYPE, BRANCH_CODE, CLASS_CODE, ENT_BY, ENT_DATE, ENT_BY_IP)</v>
      </c>
      <c r="AF120" s="12" t="str">
        <f t="shared" si="37"/>
        <v>VALUES('08801362','ClientRequests.aspx', 'USER', '01', '08', 'ABDUL', SYSDATE, '10.6.100.63');</v>
      </c>
      <c r="AG120" s="12" t="str">
        <f t="shared" si="38"/>
        <v>INSERT INTO sy_perm_list (USER_CD, OPT_CD, ACCESS_TYPE, BRANCH_CODE, CLASS_CODE, ENT_BY, ENT_DATE, ENT_BY_IP)</v>
      </c>
      <c r="AH120" s="12" t="str">
        <f t="shared" si="39"/>
        <v>VALUES('08801362','HealthLife.aspx', 'USER', '01', '08', 'ABDUL', SYSDATE, '10.6.100.63');</v>
      </c>
      <c r="AI120" s="12" t="str">
        <f t="shared" si="40"/>
        <v>INSERT INTO sy_perm_list (USER_CD, OPT_CD, ACCESS_TYPE, BRANCH_CODE, CLASS_CODE, ENT_BY, ENT_DATE, ENT_BY_IP)</v>
      </c>
      <c r="AJ120" s="12" t="str">
        <f t="shared" si="41"/>
        <v>VALUES('08801362','IpdClaim.aspx', 'USER', '01', '08', 'ABDUL', SYSDATE, '10.6.100.63');</v>
      </c>
      <c r="AK120" s="12" t="str">
        <f t="shared" si="42"/>
        <v>INSERT INTO sy_perm_list (USER_CD, OPT_CD, ACCESS_TYPE, BRANCH_CODE, CLASS_CODE, ENT_BY, ENT_DATE, ENT_BY_IP)</v>
      </c>
      <c r="AL120" s="12" t="str">
        <f t="shared" si="43"/>
        <v>VALUES('08801362','OpdClaim.aspx', 'USER', '01', '08', 'ABDUL', SYSDATE, '10.6.100.63');</v>
      </c>
      <c r="AM120" s="12" t="str">
        <f t="shared" si="44"/>
        <v>INSERT INTO sy_perm_list (USER_CD, OPT_CD, ACCESS_TYPE, BRANCH_CODE, CLASS_CODE, ENT_BY, ENT_DATE, ENT_BY_IP)</v>
      </c>
      <c r="AN120" s="12" t="str">
        <f t="shared" si="45"/>
        <v>VALUES('08801362','RequestDetails.aspx', 'USER', '01', '08', 'ABDUL', SYSDATE, '10.6.100.63');</v>
      </c>
      <c r="AO120" s="12" t="str">
        <f t="shared" si="46"/>
        <v>INSERT INTO sy_perm_list (USER_CD, OPT_CD, ACCESS_TYPE, BRANCH_CODE, CLASS_CODE, ENT_BY, ENT_DATE, ENT_BY_IP)</v>
      </c>
      <c r="AP120" s="12" t="str">
        <f t="shared" si="47"/>
        <v>VALUES('08801362','TodaysRequest.aspx', 'USER', '01', '08', 'ABDUL', SYSDATE, '10.6.100.63');</v>
      </c>
    </row>
    <row r="121" spans="1:42" s="6" customFormat="1" ht="76.5" x14ac:dyDescent="0.2">
      <c r="A121" s="4">
        <v>105</v>
      </c>
      <c r="B121" s="5" t="s">
        <v>756</v>
      </c>
      <c r="C121" s="5">
        <v>9000221</v>
      </c>
      <c r="D121" s="6" t="s">
        <v>285</v>
      </c>
      <c r="E121" s="6" t="s">
        <v>286</v>
      </c>
      <c r="F121" s="5" t="s">
        <v>287</v>
      </c>
      <c r="G121" s="6" t="s">
        <v>288</v>
      </c>
      <c r="H121" s="5" t="s">
        <v>649</v>
      </c>
      <c r="I121" s="5">
        <v>575</v>
      </c>
      <c r="J121" s="5" t="s">
        <v>326</v>
      </c>
      <c r="K121" s="6" t="s">
        <v>176</v>
      </c>
      <c r="L121" s="6" t="s">
        <v>177</v>
      </c>
      <c r="M121" s="6" t="s">
        <v>178</v>
      </c>
      <c r="N121" s="7">
        <v>44036</v>
      </c>
      <c r="O121" s="7">
        <v>44017</v>
      </c>
      <c r="P121" s="7">
        <v>44381</v>
      </c>
      <c r="Q121" s="8">
        <v>85</v>
      </c>
      <c r="R121" s="8">
        <v>274</v>
      </c>
      <c r="S12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1" s="12" t="str">
        <f t="shared" si="25"/>
        <v>VALUES('08003596','NEXT GENERATION INNOVATIONS','Salaam@123','Y','N',sysdate,'016', 'C', 'Client', 'bushra@nextgeni.com','01','B', '08', 'ABDUL', sysdate, '10.6.100.63', '08003596');</v>
      </c>
      <c r="U121" s="12" t="str">
        <f t="shared" si="26"/>
        <v>INSERT INTO sy_user_branches (USER_CD, BRANCH_CODE, CLASS_CODE, ENT_BY, ENT_DATE, ENT_BY_IP)</v>
      </c>
      <c r="V121" s="12" t="str">
        <f t="shared" si="27"/>
        <v>values('08003596','01', '08', 'ABDUL', sysdate, '10.6.100.63');</v>
      </c>
      <c r="W121" s="12" t="str">
        <f t="shared" si="28"/>
        <v>INSERT INTO sy_perm_list (USER_CD, OPT_CD, ACCESS_TYPE, BRANCH_CODE, CLASS_CODE, ENT_BY, ENT_DATE, ENT_BY_IP)</v>
      </c>
      <c r="X121" s="12" t="str">
        <f t="shared" si="29"/>
        <v>VALUES('08003596','ClaimComments.aspx', 'USER', '01', '08', 'ABDUL', SYSDATE, '10.6.100.63');</v>
      </c>
      <c r="Y121" s="12" t="str">
        <f t="shared" si="30"/>
        <v>INSERT INTO sy_perm_list (USER_CD, OPT_CD, ACCESS_TYPE, BRANCH_CODE, CLASS_CODE, ENT_BY, ENT_DATE, ENT_BY_IP)</v>
      </c>
      <c r="Z121" s="12" t="str">
        <f t="shared" si="31"/>
        <v>VALUES('08003596','ClaimDocs.aspx', 'USER', '01', '08', 'ABDUL', SYSDATE, '10.6.100.63');</v>
      </c>
      <c r="AA121" s="12" t="str">
        <f t="shared" si="32"/>
        <v>INSERT INTO sy_perm_list (USER_CD, OPT_CD, ACCESS_TYPE, BRANCH_CODE, CLASS_CODE, ENT_BY, ENT_DATE, ENT_BY_IP)</v>
      </c>
      <c r="AB121" s="12" t="str">
        <f t="shared" si="33"/>
        <v>VALUES('08003596','Client.aspx', 'USER', '01', '08', 'ABDUL', SYSDATE, '10.6.100.63');</v>
      </c>
      <c r="AC121" s="12" t="str">
        <f t="shared" si="34"/>
        <v>INSERT INTO sy_perm_list (USER_CD, OPT_CD, ACCESS_TYPE, BRANCH_CODE, CLASS_CODE, ENT_BY, ENT_DATE, ENT_BY_IP)</v>
      </c>
      <c r="AD121" s="12" t="str">
        <f t="shared" si="35"/>
        <v>VALUES('08003596','ClientReports.aspx', 'USER', '01', '08', 'ABDUL', SYSDATE, '10.6.100.63');</v>
      </c>
      <c r="AE121" s="12" t="str">
        <f t="shared" si="36"/>
        <v>INSERT INTO sy_perm_list (USER_CD, OPT_CD, ACCESS_TYPE, BRANCH_CODE, CLASS_CODE, ENT_BY, ENT_DATE, ENT_BY_IP)</v>
      </c>
      <c r="AF121" s="12" t="str">
        <f t="shared" si="37"/>
        <v>VALUES('08003596','ClientRequests.aspx', 'USER', '01', '08', 'ABDUL', SYSDATE, '10.6.100.63');</v>
      </c>
      <c r="AG121" s="12" t="str">
        <f t="shared" si="38"/>
        <v>INSERT INTO sy_perm_list (USER_CD, OPT_CD, ACCESS_TYPE, BRANCH_CODE, CLASS_CODE, ENT_BY, ENT_DATE, ENT_BY_IP)</v>
      </c>
      <c r="AH121" s="12" t="str">
        <f t="shared" si="39"/>
        <v>VALUES('08003596','HealthLife.aspx', 'USER', '01', '08', 'ABDUL', SYSDATE, '10.6.100.63');</v>
      </c>
      <c r="AI121" s="12" t="str">
        <f t="shared" si="40"/>
        <v>INSERT INTO sy_perm_list (USER_CD, OPT_CD, ACCESS_TYPE, BRANCH_CODE, CLASS_CODE, ENT_BY, ENT_DATE, ENT_BY_IP)</v>
      </c>
      <c r="AJ121" s="12" t="str">
        <f t="shared" si="41"/>
        <v>VALUES('08003596','IpdClaim.aspx', 'USER', '01', '08', 'ABDUL', SYSDATE, '10.6.100.63');</v>
      </c>
      <c r="AK121" s="12" t="str">
        <f t="shared" si="42"/>
        <v>INSERT INTO sy_perm_list (USER_CD, OPT_CD, ACCESS_TYPE, BRANCH_CODE, CLASS_CODE, ENT_BY, ENT_DATE, ENT_BY_IP)</v>
      </c>
      <c r="AL121" s="12" t="str">
        <f t="shared" si="43"/>
        <v>VALUES('08003596','OpdClaim.aspx', 'USER', '01', '08', 'ABDUL', SYSDATE, '10.6.100.63');</v>
      </c>
      <c r="AM121" s="12" t="str">
        <f t="shared" si="44"/>
        <v>INSERT INTO sy_perm_list (USER_CD, OPT_CD, ACCESS_TYPE, BRANCH_CODE, CLASS_CODE, ENT_BY, ENT_DATE, ENT_BY_IP)</v>
      </c>
      <c r="AN121" s="12" t="str">
        <f t="shared" si="45"/>
        <v>VALUES('08003596','RequestDetails.aspx', 'USER', '01', '08', 'ABDUL', SYSDATE, '10.6.100.63');</v>
      </c>
      <c r="AO121" s="12" t="str">
        <f t="shared" si="46"/>
        <v>INSERT INTO sy_perm_list (USER_CD, OPT_CD, ACCESS_TYPE, BRANCH_CODE, CLASS_CODE, ENT_BY, ENT_DATE, ENT_BY_IP)</v>
      </c>
      <c r="AP121" s="12" t="str">
        <f t="shared" si="47"/>
        <v>VALUES('08003596','TodaysRequest.aspx', 'USER', '01', '08', 'ABDUL', SYSDATE, '10.6.100.63');</v>
      </c>
    </row>
    <row r="122" spans="1:42" s="6" customFormat="1" ht="76.5" x14ac:dyDescent="0.2">
      <c r="A122" s="4">
        <v>106</v>
      </c>
      <c r="B122" s="5" t="s">
        <v>757</v>
      </c>
      <c r="C122" s="5">
        <v>9000006</v>
      </c>
      <c r="D122" s="6" t="s">
        <v>370</v>
      </c>
      <c r="E122" s="6" t="s">
        <v>299</v>
      </c>
      <c r="F122" s="5" t="s">
        <v>287</v>
      </c>
      <c r="G122" s="6" t="s">
        <v>288</v>
      </c>
      <c r="H122" s="5" t="s">
        <v>649</v>
      </c>
      <c r="I122" s="5">
        <v>629</v>
      </c>
      <c r="J122" s="5" t="s">
        <v>371</v>
      </c>
      <c r="K122" s="6" t="s">
        <v>11</v>
      </c>
      <c r="L122" s="6" t="s">
        <v>12</v>
      </c>
      <c r="M122" s="6" t="s">
        <v>13</v>
      </c>
      <c r="N122" s="7">
        <v>44100</v>
      </c>
      <c r="O122" s="7">
        <v>44079</v>
      </c>
      <c r="P122" s="7">
        <v>44443</v>
      </c>
      <c r="Q122" s="8">
        <v>80</v>
      </c>
      <c r="R122" s="8">
        <v>278</v>
      </c>
      <c r="S12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2" s="12" t="str">
        <f t="shared" si="25"/>
        <v>VALUES('08004763','NUTRX-HEALTH PRODUCTS','Salaam@123','Y','N',sysdate,'016', 'C', 'Client', 'adeel.ahmed@nutrx.com','01','B', '08', 'ABDUL', sysdate, '10.6.100.63', '08004763');</v>
      </c>
      <c r="U122" s="12" t="str">
        <f t="shared" si="26"/>
        <v>INSERT INTO sy_user_branches (USER_CD, BRANCH_CODE, CLASS_CODE, ENT_BY, ENT_DATE, ENT_BY_IP)</v>
      </c>
      <c r="V122" s="12" t="str">
        <f t="shared" si="27"/>
        <v>values('08004763','01', '08', 'ABDUL', sysdate, '10.6.100.63');</v>
      </c>
      <c r="W122" s="12" t="str">
        <f t="shared" si="28"/>
        <v>INSERT INTO sy_perm_list (USER_CD, OPT_CD, ACCESS_TYPE, BRANCH_CODE, CLASS_CODE, ENT_BY, ENT_DATE, ENT_BY_IP)</v>
      </c>
      <c r="X122" s="12" t="str">
        <f t="shared" si="29"/>
        <v>VALUES('08004763','ClaimComments.aspx', 'USER', '01', '08', 'ABDUL', SYSDATE, '10.6.100.63');</v>
      </c>
      <c r="Y122" s="12" t="str">
        <f t="shared" si="30"/>
        <v>INSERT INTO sy_perm_list (USER_CD, OPT_CD, ACCESS_TYPE, BRANCH_CODE, CLASS_CODE, ENT_BY, ENT_DATE, ENT_BY_IP)</v>
      </c>
      <c r="Z122" s="12" t="str">
        <f t="shared" si="31"/>
        <v>VALUES('08004763','ClaimDocs.aspx', 'USER', '01', '08', 'ABDUL', SYSDATE, '10.6.100.63');</v>
      </c>
      <c r="AA122" s="12" t="str">
        <f t="shared" si="32"/>
        <v>INSERT INTO sy_perm_list (USER_CD, OPT_CD, ACCESS_TYPE, BRANCH_CODE, CLASS_CODE, ENT_BY, ENT_DATE, ENT_BY_IP)</v>
      </c>
      <c r="AB122" s="12" t="str">
        <f t="shared" si="33"/>
        <v>VALUES('08004763','Client.aspx', 'USER', '01', '08', 'ABDUL', SYSDATE, '10.6.100.63');</v>
      </c>
      <c r="AC122" s="12" t="str">
        <f t="shared" si="34"/>
        <v>INSERT INTO sy_perm_list (USER_CD, OPT_CD, ACCESS_TYPE, BRANCH_CODE, CLASS_CODE, ENT_BY, ENT_DATE, ENT_BY_IP)</v>
      </c>
      <c r="AD122" s="12" t="str">
        <f t="shared" si="35"/>
        <v>VALUES('08004763','ClientReports.aspx', 'USER', '01', '08', 'ABDUL', SYSDATE, '10.6.100.63');</v>
      </c>
      <c r="AE122" s="12" t="str">
        <f t="shared" si="36"/>
        <v>INSERT INTO sy_perm_list (USER_CD, OPT_CD, ACCESS_TYPE, BRANCH_CODE, CLASS_CODE, ENT_BY, ENT_DATE, ENT_BY_IP)</v>
      </c>
      <c r="AF122" s="12" t="str">
        <f t="shared" si="37"/>
        <v>VALUES('08004763','ClientRequests.aspx', 'USER', '01', '08', 'ABDUL', SYSDATE, '10.6.100.63');</v>
      </c>
      <c r="AG122" s="12" t="str">
        <f t="shared" si="38"/>
        <v>INSERT INTO sy_perm_list (USER_CD, OPT_CD, ACCESS_TYPE, BRANCH_CODE, CLASS_CODE, ENT_BY, ENT_DATE, ENT_BY_IP)</v>
      </c>
      <c r="AH122" s="12" t="str">
        <f t="shared" si="39"/>
        <v>VALUES('08004763','HealthLife.aspx', 'USER', '01', '08', 'ABDUL', SYSDATE, '10.6.100.63');</v>
      </c>
      <c r="AI122" s="12" t="str">
        <f t="shared" si="40"/>
        <v>INSERT INTO sy_perm_list (USER_CD, OPT_CD, ACCESS_TYPE, BRANCH_CODE, CLASS_CODE, ENT_BY, ENT_DATE, ENT_BY_IP)</v>
      </c>
      <c r="AJ122" s="12" t="str">
        <f t="shared" si="41"/>
        <v>VALUES('08004763','IpdClaim.aspx', 'USER', '01', '08', 'ABDUL', SYSDATE, '10.6.100.63');</v>
      </c>
      <c r="AK122" s="12" t="str">
        <f t="shared" si="42"/>
        <v>INSERT INTO sy_perm_list (USER_CD, OPT_CD, ACCESS_TYPE, BRANCH_CODE, CLASS_CODE, ENT_BY, ENT_DATE, ENT_BY_IP)</v>
      </c>
      <c r="AL122" s="12" t="str">
        <f t="shared" si="43"/>
        <v>VALUES('08004763','OpdClaim.aspx', 'USER', '01', '08', 'ABDUL', SYSDATE, '10.6.100.63');</v>
      </c>
      <c r="AM122" s="12" t="str">
        <f t="shared" si="44"/>
        <v>INSERT INTO sy_perm_list (USER_CD, OPT_CD, ACCESS_TYPE, BRANCH_CODE, CLASS_CODE, ENT_BY, ENT_DATE, ENT_BY_IP)</v>
      </c>
      <c r="AN122" s="12" t="str">
        <f t="shared" si="45"/>
        <v>VALUES('08004763','RequestDetails.aspx', 'USER', '01', '08', 'ABDUL', SYSDATE, '10.6.100.63');</v>
      </c>
      <c r="AO122" s="12" t="str">
        <f t="shared" si="46"/>
        <v>INSERT INTO sy_perm_list (USER_CD, OPT_CD, ACCESS_TYPE, BRANCH_CODE, CLASS_CODE, ENT_BY, ENT_DATE, ENT_BY_IP)</v>
      </c>
      <c r="AP122" s="12" t="str">
        <f t="shared" si="47"/>
        <v>VALUES('08004763','TodaysRequest.aspx', 'USER', '01', '08', 'ABDUL', SYSDATE, '10.6.100.63');</v>
      </c>
    </row>
    <row r="123" spans="1:42" s="6" customFormat="1" ht="76.5" x14ac:dyDescent="0.2">
      <c r="A123" s="4">
        <v>107</v>
      </c>
      <c r="B123" s="5" t="s">
        <v>758</v>
      </c>
      <c r="C123" s="5">
        <v>9000233</v>
      </c>
      <c r="D123" s="6" t="s">
        <v>359</v>
      </c>
      <c r="E123" s="6" t="s">
        <v>299</v>
      </c>
      <c r="F123" s="5" t="s">
        <v>287</v>
      </c>
      <c r="G123" s="6" t="s">
        <v>288</v>
      </c>
      <c r="H123" s="5" t="s">
        <v>650</v>
      </c>
      <c r="I123" s="5">
        <v>624</v>
      </c>
      <c r="J123" s="5" t="s">
        <v>360</v>
      </c>
      <c r="K123" s="6" t="s">
        <v>361</v>
      </c>
      <c r="L123" s="6" t="s">
        <v>615</v>
      </c>
      <c r="M123" s="6" t="s">
        <v>616</v>
      </c>
      <c r="N123" s="7">
        <v>44097</v>
      </c>
      <c r="O123" s="7">
        <v>44090</v>
      </c>
      <c r="P123" s="7">
        <v>44454</v>
      </c>
      <c r="Q123" s="8">
        <v>39</v>
      </c>
      <c r="R123" s="8">
        <v>62</v>
      </c>
      <c r="S12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3" s="12" t="str">
        <f t="shared" si="25"/>
        <v>VALUES('08801543','O T C','Salaam@123','Y','N',sysdate,'016', 'C', 'Client', 'zakish@otc.com.pk','01','B', '08', 'ABDUL', sysdate, '10.6.100.63', '08801543');</v>
      </c>
      <c r="U123" s="12" t="str">
        <f t="shared" si="26"/>
        <v>INSERT INTO sy_user_branches (USER_CD, BRANCH_CODE, CLASS_CODE, ENT_BY, ENT_DATE, ENT_BY_IP)</v>
      </c>
      <c r="V123" s="12" t="str">
        <f t="shared" si="27"/>
        <v>values('08801543','01', '08', 'ABDUL', sysdate, '10.6.100.63');</v>
      </c>
      <c r="W123" s="12" t="str">
        <f t="shared" si="28"/>
        <v>INSERT INTO sy_perm_list (USER_CD, OPT_CD, ACCESS_TYPE, BRANCH_CODE, CLASS_CODE, ENT_BY, ENT_DATE, ENT_BY_IP)</v>
      </c>
      <c r="X123" s="12" t="str">
        <f t="shared" si="29"/>
        <v>VALUES('08801543','ClaimComments.aspx', 'USER', '01', '08', 'ABDUL', SYSDATE, '10.6.100.63');</v>
      </c>
      <c r="Y123" s="12" t="str">
        <f t="shared" si="30"/>
        <v>INSERT INTO sy_perm_list (USER_CD, OPT_CD, ACCESS_TYPE, BRANCH_CODE, CLASS_CODE, ENT_BY, ENT_DATE, ENT_BY_IP)</v>
      </c>
      <c r="Z123" s="12" t="str">
        <f t="shared" si="31"/>
        <v>VALUES('08801543','ClaimDocs.aspx', 'USER', '01', '08', 'ABDUL', SYSDATE, '10.6.100.63');</v>
      </c>
      <c r="AA123" s="12" t="str">
        <f t="shared" si="32"/>
        <v>INSERT INTO sy_perm_list (USER_CD, OPT_CD, ACCESS_TYPE, BRANCH_CODE, CLASS_CODE, ENT_BY, ENT_DATE, ENT_BY_IP)</v>
      </c>
      <c r="AB123" s="12" t="str">
        <f t="shared" si="33"/>
        <v>VALUES('08801543','Client.aspx', 'USER', '01', '08', 'ABDUL', SYSDATE, '10.6.100.63');</v>
      </c>
      <c r="AC123" s="12" t="str">
        <f t="shared" si="34"/>
        <v>INSERT INTO sy_perm_list (USER_CD, OPT_CD, ACCESS_TYPE, BRANCH_CODE, CLASS_CODE, ENT_BY, ENT_DATE, ENT_BY_IP)</v>
      </c>
      <c r="AD123" s="12" t="str">
        <f t="shared" si="35"/>
        <v>VALUES('08801543','ClientReports.aspx', 'USER', '01', '08', 'ABDUL', SYSDATE, '10.6.100.63');</v>
      </c>
      <c r="AE123" s="12" t="str">
        <f t="shared" si="36"/>
        <v>INSERT INTO sy_perm_list (USER_CD, OPT_CD, ACCESS_TYPE, BRANCH_CODE, CLASS_CODE, ENT_BY, ENT_DATE, ENT_BY_IP)</v>
      </c>
      <c r="AF123" s="12" t="str">
        <f t="shared" si="37"/>
        <v>VALUES('08801543','ClientRequests.aspx', 'USER', '01', '08', 'ABDUL', SYSDATE, '10.6.100.63');</v>
      </c>
      <c r="AG123" s="12" t="str">
        <f t="shared" si="38"/>
        <v>INSERT INTO sy_perm_list (USER_CD, OPT_CD, ACCESS_TYPE, BRANCH_CODE, CLASS_CODE, ENT_BY, ENT_DATE, ENT_BY_IP)</v>
      </c>
      <c r="AH123" s="12" t="str">
        <f t="shared" si="39"/>
        <v>VALUES('08801543','HealthLife.aspx', 'USER', '01', '08', 'ABDUL', SYSDATE, '10.6.100.63');</v>
      </c>
      <c r="AI123" s="12" t="str">
        <f t="shared" si="40"/>
        <v>INSERT INTO sy_perm_list (USER_CD, OPT_CD, ACCESS_TYPE, BRANCH_CODE, CLASS_CODE, ENT_BY, ENT_DATE, ENT_BY_IP)</v>
      </c>
      <c r="AJ123" s="12" t="str">
        <f t="shared" si="41"/>
        <v>VALUES('08801543','IpdClaim.aspx', 'USER', '01', '08', 'ABDUL', SYSDATE, '10.6.100.63');</v>
      </c>
      <c r="AK123" s="12" t="str">
        <f t="shared" si="42"/>
        <v>INSERT INTO sy_perm_list (USER_CD, OPT_CD, ACCESS_TYPE, BRANCH_CODE, CLASS_CODE, ENT_BY, ENT_DATE, ENT_BY_IP)</v>
      </c>
      <c r="AL123" s="12" t="str">
        <f t="shared" si="43"/>
        <v>VALUES('08801543','OpdClaim.aspx', 'USER', '01', '08', 'ABDUL', SYSDATE, '10.6.100.63');</v>
      </c>
      <c r="AM123" s="12" t="str">
        <f t="shared" si="44"/>
        <v>INSERT INTO sy_perm_list (USER_CD, OPT_CD, ACCESS_TYPE, BRANCH_CODE, CLASS_CODE, ENT_BY, ENT_DATE, ENT_BY_IP)</v>
      </c>
      <c r="AN123" s="12" t="str">
        <f t="shared" si="45"/>
        <v>VALUES('08801543','RequestDetails.aspx', 'USER', '01', '08', 'ABDUL', SYSDATE, '10.6.100.63');</v>
      </c>
      <c r="AO123" s="12" t="str">
        <f t="shared" si="46"/>
        <v>INSERT INTO sy_perm_list (USER_CD, OPT_CD, ACCESS_TYPE, BRANCH_CODE, CLASS_CODE, ENT_BY, ENT_DATE, ENT_BY_IP)</v>
      </c>
      <c r="AP123" s="12" t="str">
        <f t="shared" si="47"/>
        <v>VALUES('08801543','TodaysRequest.aspx', 'USER', '01', '08', 'ABDUL', SYSDATE, '10.6.100.63');</v>
      </c>
    </row>
    <row r="124" spans="1:42" s="6" customFormat="1" ht="89.25" x14ac:dyDescent="0.2">
      <c r="A124" s="4">
        <v>108</v>
      </c>
      <c r="B124" s="5" t="s">
        <v>759</v>
      </c>
      <c r="C124" s="5">
        <v>9000272</v>
      </c>
      <c r="D124" s="6" t="s">
        <v>470</v>
      </c>
      <c r="E124" s="6" t="s">
        <v>314</v>
      </c>
      <c r="F124" s="5" t="s">
        <v>287</v>
      </c>
      <c r="G124" s="6" t="s">
        <v>288</v>
      </c>
      <c r="H124" s="5" t="s">
        <v>649</v>
      </c>
      <c r="I124" s="5">
        <v>754</v>
      </c>
      <c r="J124" s="5" t="s">
        <v>471</v>
      </c>
      <c r="K124" s="6" t="s">
        <v>25</v>
      </c>
      <c r="L124" s="6" t="s">
        <v>114</v>
      </c>
      <c r="M124" s="6" t="s">
        <v>126</v>
      </c>
      <c r="N124" s="7">
        <v>44229</v>
      </c>
      <c r="O124" s="7">
        <v>44228</v>
      </c>
      <c r="P124" s="7">
        <v>44592</v>
      </c>
      <c r="Q124" s="8">
        <v>84</v>
      </c>
      <c r="R124" s="8">
        <v>319</v>
      </c>
      <c r="S12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4" s="12" t="str">
        <f t="shared" si="25"/>
        <v>VALUES('08801227','OCEAN NETWORK EXPRESS PAKISTAN (PRIVATE) LIMITED','Salaam@123','Y','N',sysdate,'016', 'C', 'Client', 'fahad.irshad@excelconsulting.com.pk','01','B', '08', 'ABDUL', sysdate, '10.6.100.63', '08801227');</v>
      </c>
      <c r="U124" s="12" t="str">
        <f t="shared" si="26"/>
        <v>INSERT INTO sy_user_branches (USER_CD, BRANCH_CODE, CLASS_CODE, ENT_BY, ENT_DATE, ENT_BY_IP)</v>
      </c>
      <c r="V124" s="12" t="str">
        <f t="shared" si="27"/>
        <v>values('08801227','01', '08', 'ABDUL', sysdate, '10.6.100.63');</v>
      </c>
      <c r="W124" s="12" t="str">
        <f t="shared" si="28"/>
        <v>INSERT INTO sy_perm_list (USER_CD, OPT_CD, ACCESS_TYPE, BRANCH_CODE, CLASS_CODE, ENT_BY, ENT_DATE, ENT_BY_IP)</v>
      </c>
      <c r="X124" s="12" t="str">
        <f t="shared" si="29"/>
        <v>VALUES('08801227','ClaimComments.aspx', 'USER', '01', '08', 'ABDUL', SYSDATE, '10.6.100.63');</v>
      </c>
      <c r="Y124" s="12" t="str">
        <f t="shared" si="30"/>
        <v>INSERT INTO sy_perm_list (USER_CD, OPT_CD, ACCESS_TYPE, BRANCH_CODE, CLASS_CODE, ENT_BY, ENT_DATE, ENT_BY_IP)</v>
      </c>
      <c r="Z124" s="12" t="str">
        <f t="shared" si="31"/>
        <v>VALUES('08801227','ClaimDocs.aspx', 'USER', '01', '08', 'ABDUL', SYSDATE, '10.6.100.63');</v>
      </c>
      <c r="AA124" s="12" t="str">
        <f t="shared" si="32"/>
        <v>INSERT INTO sy_perm_list (USER_CD, OPT_CD, ACCESS_TYPE, BRANCH_CODE, CLASS_CODE, ENT_BY, ENT_DATE, ENT_BY_IP)</v>
      </c>
      <c r="AB124" s="12" t="str">
        <f t="shared" si="33"/>
        <v>VALUES('08801227','Client.aspx', 'USER', '01', '08', 'ABDUL', SYSDATE, '10.6.100.63');</v>
      </c>
      <c r="AC124" s="12" t="str">
        <f t="shared" si="34"/>
        <v>INSERT INTO sy_perm_list (USER_CD, OPT_CD, ACCESS_TYPE, BRANCH_CODE, CLASS_CODE, ENT_BY, ENT_DATE, ENT_BY_IP)</v>
      </c>
      <c r="AD124" s="12" t="str">
        <f t="shared" si="35"/>
        <v>VALUES('08801227','ClientReports.aspx', 'USER', '01', '08', 'ABDUL', SYSDATE, '10.6.100.63');</v>
      </c>
      <c r="AE124" s="12" t="str">
        <f t="shared" si="36"/>
        <v>INSERT INTO sy_perm_list (USER_CD, OPT_CD, ACCESS_TYPE, BRANCH_CODE, CLASS_CODE, ENT_BY, ENT_DATE, ENT_BY_IP)</v>
      </c>
      <c r="AF124" s="12" t="str">
        <f t="shared" si="37"/>
        <v>VALUES('08801227','ClientRequests.aspx', 'USER', '01', '08', 'ABDUL', SYSDATE, '10.6.100.63');</v>
      </c>
      <c r="AG124" s="12" t="str">
        <f t="shared" si="38"/>
        <v>INSERT INTO sy_perm_list (USER_CD, OPT_CD, ACCESS_TYPE, BRANCH_CODE, CLASS_CODE, ENT_BY, ENT_DATE, ENT_BY_IP)</v>
      </c>
      <c r="AH124" s="12" t="str">
        <f t="shared" si="39"/>
        <v>VALUES('08801227','HealthLife.aspx', 'USER', '01', '08', 'ABDUL', SYSDATE, '10.6.100.63');</v>
      </c>
      <c r="AI124" s="12" t="str">
        <f t="shared" si="40"/>
        <v>INSERT INTO sy_perm_list (USER_CD, OPT_CD, ACCESS_TYPE, BRANCH_CODE, CLASS_CODE, ENT_BY, ENT_DATE, ENT_BY_IP)</v>
      </c>
      <c r="AJ124" s="12" t="str">
        <f t="shared" si="41"/>
        <v>VALUES('08801227','IpdClaim.aspx', 'USER', '01', '08', 'ABDUL', SYSDATE, '10.6.100.63');</v>
      </c>
      <c r="AK124" s="12" t="str">
        <f t="shared" si="42"/>
        <v>INSERT INTO sy_perm_list (USER_CD, OPT_CD, ACCESS_TYPE, BRANCH_CODE, CLASS_CODE, ENT_BY, ENT_DATE, ENT_BY_IP)</v>
      </c>
      <c r="AL124" s="12" t="str">
        <f t="shared" si="43"/>
        <v>VALUES('08801227','OpdClaim.aspx', 'USER', '01', '08', 'ABDUL', SYSDATE, '10.6.100.63');</v>
      </c>
      <c r="AM124" s="12" t="str">
        <f t="shared" si="44"/>
        <v>INSERT INTO sy_perm_list (USER_CD, OPT_CD, ACCESS_TYPE, BRANCH_CODE, CLASS_CODE, ENT_BY, ENT_DATE, ENT_BY_IP)</v>
      </c>
      <c r="AN124" s="12" t="str">
        <f t="shared" si="45"/>
        <v>VALUES('08801227','RequestDetails.aspx', 'USER', '01', '08', 'ABDUL', SYSDATE, '10.6.100.63');</v>
      </c>
      <c r="AO124" s="12" t="str">
        <f t="shared" si="46"/>
        <v>INSERT INTO sy_perm_list (USER_CD, OPT_CD, ACCESS_TYPE, BRANCH_CODE, CLASS_CODE, ENT_BY, ENT_DATE, ENT_BY_IP)</v>
      </c>
      <c r="AP124" s="12" t="str">
        <f t="shared" si="47"/>
        <v>VALUES('08801227','TodaysRequest.aspx', 'USER', '01', '08', 'ABDUL', SYSDATE, '10.6.100.63');</v>
      </c>
    </row>
    <row r="125" spans="1:42" s="6" customFormat="1" ht="76.5" x14ac:dyDescent="0.2">
      <c r="A125" s="4">
        <v>109</v>
      </c>
      <c r="B125" s="5" t="s">
        <v>760</v>
      </c>
      <c r="C125" s="5">
        <v>9000221</v>
      </c>
      <c r="D125" s="6" t="s">
        <v>285</v>
      </c>
      <c r="E125" s="6" t="s">
        <v>286</v>
      </c>
      <c r="F125" s="5" t="s">
        <v>287</v>
      </c>
      <c r="G125" s="6" t="s">
        <v>288</v>
      </c>
      <c r="H125" s="5" t="s">
        <v>649</v>
      </c>
      <c r="I125" s="5">
        <v>534</v>
      </c>
      <c r="J125" s="5" t="s">
        <v>301</v>
      </c>
      <c r="K125" s="6" t="s">
        <v>210</v>
      </c>
      <c r="L125" s="6" t="s">
        <v>211</v>
      </c>
      <c r="M125" s="6" t="s">
        <v>212</v>
      </c>
      <c r="N125" s="7">
        <v>43969</v>
      </c>
      <c r="O125" s="7">
        <v>43939</v>
      </c>
      <c r="P125" s="7">
        <v>44303</v>
      </c>
      <c r="Q125" s="8">
        <v>10</v>
      </c>
      <c r="R125" s="8">
        <v>14</v>
      </c>
      <c r="S125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5" s="12" t="str">
        <f t="shared" si="25"/>
        <v>VALUES('08800638','ORAAN TECH (PRIVATE) LIMITED','Salaam@123','Y','N',sysdate,'016', 'C', 'Client', 'talhaf@oraan.com','01','B', '08', 'ABDUL', sysdate, '10.6.100.63', '08800638');</v>
      </c>
      <c r="U125" s="12" t="str">
        <f t="shared" si="26"/>
        <v>INSERT INTO sy_user_branches (USER_CD, BRANCH_CODE, CLASS_CODE, ENT_BY, ENT_DATE, ENT_BY_IP)</v>
      </c>
      <c r="V125" s="12" t="str">
        <f t="shared" si="27"/>
        <v>values('08800638','01', '08', 'ABDUL', sysdate, '10.6.100.63');</v>
      </c>
      <c r="W125" s="12" t="str">
        <f t="shared" si="28"/>
        <v>INSERT INTO sy_perm_list (USER_CD, OPT_CD, ACCESS_TYPE, BRANCH_CODE, CLASS_CODE, ENT_BY, ENT_DATE, ENT_BY_IP)</v>
      </c>
      <c r="X125" s="12" t="str">
        <f t="shared" si="29"/>
        <v>VALUES('08800638','ClaimComments.aspx', 'USER', '01', '08', 'ABDUL', SYSDATE, '10.6.100.63');</v>
      </c>
      <c r="Y125" s="12" t="str">
        <f t="shared" si="30"/>
        <v>INSERT INTO sy_perm_list (USER_CD, OPT_CD, ACCESS_TYPE, BRANCH_CODE, CLASS_CODE, ENT_BY, ENT_DATE, ENT_BY_IP)</v>
      </c>
      <c r="Z125" s="12" t="str">
        <f t="shared" si="31"/>
        <v>VALUES('08800638','ClaimDocs.aspx', 'USER', '01', '08', 'ABDUL', SYSDATE, '10.6.100.63');</v>
      </c>
      <c r="AA125" s="12" t="str">
        <f t="shared" si="32"/>
        <v>INSERT INTO sy_perm_list (USER_CD, OPT_CD, ACCESS_TYPE, BRANCH_CODE, CLASS_CODE, ENT_BY, ENT_DATE, ENT_BY_IP)</v>
      </c>
      <c r="AB125" s="12" t="str">
        <f t="shared" si="33"/>
        <v>VALUES('08800638','Client.aspx', 'USER', '01', '08', 'ABDUL', SYSDATE, '10.6.100.63');</v>
      </c>
      <c r="AC125" s="12" t="str">
        <f t="shared" si="34"/>
        <v>INSERT INTO sy_perm_list (USER_CD, OPT_CD, ACCESS_TYPE, BRANCH_CODE, CLASS_CODE, ENT_BY, ENT_DATE, ENT_BY_IP)</v>
      </c>
      <c r="AD125" s="12" t="str">
        <f t="shared" si="35"/>
        <v>VALUES('08800638','ClientReports.aspx', 'USER', '01', '08', 'ABDUL', SYSDATE, '10.6.100.63');</v>
      </c>
      <c r="AE125" s="12" t="str">
        <f t="shared" si="36"/>
        <v>INSERT INTO sy_perm_list (USER_CD, OPT_CD, ACCESS_TYPE, BRANCH_CODE, CLASS_CODE, ENT_BY, ENT_DATE, ENT_BY_IP)</v>
      </c>
      <c r="AF125" s="12" t="str">
        <f t="shared" si="37"/>
        <v>VALUES('08800638','ClientRequests.aspx', 'USER', '01', '08', 'ABDUL', SYSDATE, '10.6.100.63');</v>
      </c>
      <c r="AG125" s="12" t="str">
        <f t="shared" si="38"/>
        <v>INSERT INTO sy_perm_list (USER_CD, OPT_CD, ACCESS_TYPE, BRANCH_CODE, CLASS_CODE, ENT_BY, ENT_DATE, ENT_BY_IP)</v>
      </c>
      <c r="AH125" s="12" t="str">
        <f t="shared" si="39"/>
        <v>VALUES('08800638','HealthLife.aspx', 'USER', '01', '08', 'ABDUL', SYSDATE, '10.6.100.63');</v>
      </c>
      <c r="AI125" s="12" t="str">
        <f t="shared" si="40"/>
        <v>INSERT INTO sy_perm_list (USER_CD, OPT_CD, ACCESS_TYPE, BRANCH_CODE, CLASS_CODE, ENT_BY, ENT_DATE, ENT_BY_IP)</v>
      </c>
      <c r="AJ125" s="12" t="str">
        <f t="shared" si="41"/>
        <v>VALUES('08800638','IpdClaim.aspx', 'USER', '01', '08', 'ABDUL', SYSDATE, '10.6.100.63');</v>
      </c>
      <c r="AK125" s="12" t="str">
        <f t="shared" si="42"/>
        <v>INSERT INTO sy_perm_list (USER_CD, OPT_CD, ACCESS_TYPE, BRANCH_CODE, CLASS_CODE, ENT_BY, ENT_DATE, ENT_BY_IP)</v>
      </c>
      <c r="AL125" s="12" t="str">
        <f t="shared" si="43"/>
        <v>VALUES('08800638','OpdClaim.aspx', 'USER', '01', '08', 'ABDUL', SYSDATE, '10.6.100.63');</v>
      </c>
      <c r="AM125" s="12" t="str">
        <f t="shared" si="44"/>
        <v>INSERT INTO sy_perm_list (USER_CD, OPT_CD, ACCESS_TYPE, BRANCH_CODE, CLASS_CODE, ENT_BY, ENT_DATE, ENT_BY_IP)</v>
      </c>
      <c r="AN125" s="12" t="str">
        <f t="shared" si="45"/>
        <v>VALUES('08800638','RequestDetails.aspx', 'USER', '01', '08', 'ABDUL', SYSDATE, '10.6.100.63');</v>
      </c>
      <c r="AO125" s="12" t="str">
        <f t="shared" si="46"/>
        <v>INSERT INTO sy_perm_list (USER_CD, OPT_CD, ACCESS_TYPE, BRANCH_CODE, CLASS_CODE, ENT_BY, ENT_DATE, ENT_BY_IP)</v>
      </c>
      <c r="AP125" s="12" t="str">
        <f t="shared" si="47"/>
        <v>VALUES('08800638','TodaysRequest.aspx', 'USER', '01', '08', 'ABDUL', SYSDATE, '10.6.100.63');</v>
      </c>
    </row>
    <row r="126" spans="1:42" s="6" customFormat="1" ht="76.5" x14ac:dyDescent="0.2">
      <c r="A126" s="4">
        <v>110</v>
      </c>
      <c r="B126" s="5" t="s">
        <v>761</v>
      </c>
      <c r="C126" s="5">
        <v>9000230</v>
      </c>
      <c r="D126" s="6" t="s">
        <v>494</v>
      </c>
      <c r="E126" s="6" t="s">
        <v>299</v>
      </c>
      <c r="F126" s="5" t="s">
        <v>287</v>
      </c>
      <c r="G126" s="6" t="s">
        <v>288</v>
      </c>
      <c r="H126" s="5" t="s">
        <v>649</v>
      </c>
      <c r="I126" s="5">
        <v>778</v>
      </c>
      <c r="J126" s="5" t="s">
        <v>495</v>
      </c>
      <c r="K126" s="6" t="s">
        <v>147</v>
      </c>
      <c r="L126" s="6" t="s">
        <v>145</v>
      </c>
      <c r="M126" s="6" t="s">
        <v>146</v>
      </c>
      <c r="N126" s="7">
        <v>44245</v>
      </c>
      <c r="O126" s="7">
        <v>44197</v>
      </c>
      <c r="P126" s="7">
        <v>44561</v>
      </c>
      <c r="Q126" s="8">
        <v>17</v>
      </c>
      <c r="R126" s="8">
        <v>23</v>
      </c>
      <c r="S126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6" s="12" t="str">
        <f t="shared" si="25"/>
        <v>VALUES('08801196','PAINT STUDIO','Salaam@123','Y','N',sysdate,'016', 'C', 'Client', 'faisal-hr@nelsonpaints.com ','01','B', '08', 'ABDUL', sysdate, '10.6.100.63', '08801196');</v>
      </c>
      <c r="U126" s="12" t="str">
        <f t="shared" si="26"/>
        <v>INSERT INTO sy_user_branches (USER_CD, BRANCH_CODE, CLASS_CODE, ENT_BY, ENT_DATE, ENT_BY_IP)</v>
      </c>
      <c r="V126" s="12" t="str">
        <f t="shared" si="27"/>
        <v>values('08801196','01', '08', 'ABDUL', sysdate, '10.6.100.63');</v>
      </c>
      <c r="W126" s="12" t="str">
        <f t="shared" si="28"/>
        <v>INSERT INTO sy_perm_list (USER_CD, OPT_CD, ACCESS_TYPE, BRANCH_CODE, CLASS_CODE, ENT_BY, ENT_DATE, ENT_BY_IP)</v>
      </c>
      <c r="X126" s="12" t="str">
        <f t="shared" si="29"/>
        <v>VALUES('08801196','ClaimComments.aspx', 'USER', '01', '08', 'ABDUL', SYSDATE, '10.6.100.63');</v>
      </c>
      <c r="Y126" s="12" t="str">
        <f t="shared" si="30"/>
        <v>INSERT INTO sy_perm_list (USER_CD, OPT_CD, ACCESS_TYPE, BRANCH_CODE, CLASS_CODE, ENT_BY, ENT_DATE, ENT_BY_IP)</v>
      </c>
      <c r="Z126" s="12" t="str">
        <f t="shared" si="31"/>
        <v>VALUES('08801196','ClaimDocs.aspx', 'USER', '01', '08', 'ABDUL', SYSDATE, '10.6.100.63');</v>
      </c>
      <c r="AA126" s="12" t="str">
        <f t="shared" si="32"/>
        <v>INSERT INTO sy_perm_list (USER_CD, OPT_CD, ACCESS_TYPE, BRANCH_CODE, CLASS_CODE, ENT_BY, ENT_DATE, ENT_BY_IP)</v>
      </c>
      <c r="AB126" s="12" t="str">
        <f t="shared" si="33"/>
        <v>VALUES('08801196','Client.aspx', 'USER', '01', '08', 'ABDUL', SYSDATE, '10.6.100.63');</v>
      </c>
      <c r="AC126" s="12" t="str">
        <f t="shared" si="34"/>
        <v>INSERT INTO sy_perm_list (USER_CD, OPT_CD, ACCESS_TYPE, BRANCH_CODE, CLASS_CODE, ENT_BY, ENT_DATE, ENT_BY_IP)</v>
      </c>
      <c r="AD126" s="12" t="str">
        <f t="shared" si="35"/>
        <v>VALUES('08801196','ClientReports.aspx', 'USER', '01', '08', 'ABDUL', SYSDATE, '10.6.100.63');</v>
      </c>
      <c r="AE126" s="12" t="str">
        <f t="shared" si="36"/>
        <v>INSERT INTO sy_perm_list (USER_CD, OPT_CD, ACCESS_TYPE, BRANCH_CODE, CLASS_CODE, ENT_BY, ENT_DATE, ENT_BY_IP)</v>
      </c>
      <c r="AF126" s="12" t="str">
        <f t="shared" si="37"/>
        <v>VALUES('08801196','ClientRequests.aspx', 'USER', '01', '08', 'ABDUL', SYSDATE, '10.6.100.63');</v>
      </c>
      <c r="AG126" s="12" t="str">
        <f t="shared" si="38"/>
        <v>INSERT INTO sy_perm_list (USER_CD, OPT_CD, ACCESS_TYPE, BRANCH_CODE, CLASS_CODE, ENT_BY, ENT_DATE, ENT_BY_IP)</v>
      </c>
      <c r="AH126" s="12" t="str">
        <f t="shared" si="39"/>
        <v>VALUES('08801196','HealthLife.aspx', 'USER', '01', '08', 'ABDUL', SYSDATE, '10.6.100.63');</v>
      </c>
      <c r="AI126" s="12" t="str">
        <f t="shared" si="40"/>
        <v>INSERT INTO sy_perm_list (USER_CD, OPT_CD, ACCESS_TYPE, BRANCH_CODE, CLASS_CODE, ENT_BY, ENT_DATE, ENT_BY_IP)</v>
      </c>
      <c r="AJ126" s="12" t="str">
        <f t="shared" si="41"/>
        <v>VALUES('08801196','IpdClaim.aspx', 'USER', '01', '08', 'ABDUL', SYSDATE, '10.6.100.63');</v>
      </c>
      <c r="AK126" s="12" t="str">
        <f t="shared" si="42"/>
        <v>INSERT INTO sy_perm_list (USER_CD, OPT_CD, ACCESS_TYPE, BRANCH_CODE, CLASS_CODE, ENT_BY, ENT_DATE, ENT_BY_IP)</v>
      </c>
      <c r="AL126" s="12" t="str">
        <f t="shared" si="43"/>
        <v>VALUES('08801196','OpdClaim.aspx', 'USER', '01', '08', 'ABDUL', SYSDATE, '10.6.100.63');</v>
      </c>
      <c r="AM126" s="12" t="str">
        <f t="shared" si="44"/>
        <v>INSERT INTO sy_perm_list (USER_CD, OPT_CD, ACCESS_TYPE, BRANCH_CODE, CLASS_CODE, ENT_BY, ENT_DATE, ENT_BY_IP)</v>
      </c>
      <c r="AN126" s="12" t="str">
        <f t="shared" si="45"/>
        <v>VALUES('08801196','RequestDetails.aspx', 'USER', '01', '08', 'ABDUL', SYSDATE, '10.6.100.63');</v>
      </c>
      <c r="AO126" s="12" t="str">
        <f t="shared" si="46"/>
        <v>INSERT INTO sy_perm_list (USER_CD, OPT_CD, ACCESS_TYPE, BRANCH_CODE, CLASS_CODE, ENT_BY, ENT_DATE, ENT_BY_IP)</v>
      </c>
      <c r="AP126" s="12" t="str">
        <f t="shared" si="47"/>
        <v>VALUES('08801196','TodaysRequest.aspx', 'USER', '01', '08', 'ABDUL', SYSDATE, '10.6.100.63');</v>
      </c>
    </row>
    <row r="127" spans="1:42" s="6" customFormat="1" ht="76.5" x14ac:dyDescent="0.2">
      <c r="A127" s="4">
        <v>111</v>
      </c>
      <c r="B127" s="5" t="s">
        <v>762</v>
      </c>
      <c r="C127" s="5">
        <v>9000267</v>
      </c>
      <c r="D127" s="6" t="s">
        <v>398</v>
      </c>
      <c r="E127" s="6" t="s">
        <v>314</v>
      </c>
      <c r="F127" s="5" t="s">
        <v>287</v>
      </c>
      <c r="G127" s="6" t="s">
        <v>288</v>
      </c>
      <c r="H127" s="5" t="s">
        <v>649</v>
      </c>
      <c r="I127" s="5">
        <v>725</v>
      </c>
      <c r="J127" s="5" t="s">
        <v>436</v>
      </c>
      <c r="K127" s="6" t="s">
        <v>195</v>
      </c>
      <c r="L127" s="6" t="s">
        <v>196</v>
      </c>
      <c r="M127" s="6" t="s">
        <v>813</v>
      </c>
      <c r="N127" s="7">
        <v>44196</v>
      </c>
      <c r="O127" s="7">
        <v>44196</v>
      </c>
      <c r="P127" s="7">
        <v>44561</v>
      </c>
      <c r="Q127" s="8">
        <v>2000</v>
      </c>
      <c r="R127" s="8">
        <v>6490</v>
      </c>
      <c r="S127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7" s="12" t="str">
        <f t="shared" si="25"/>
        <v>VALUES('08801253','PAK SUZUKI MOTORS COMPANY LIMITED','Salaam@123','Y','N',sysdate,'016', 'C', 'Client', 'muhammad.usama@fib.com.pk','01','B', '08', 'ABDUL', sysdate, '10.6.100.63', '08801253');</v>
      </c>
      <c r="U127" s="12" t="str">
        <f t="shared" si="26"/>
        <v>INSERT INTO sy_user_branches (USER_CD, BRANCH_CODE, CLASS_CODE, ENT_BY, ENT_DATE, ENT_BY_IP)</v>
      </c>
      <c r="V127" s="12" t="str">
        <f t="shared" si="27"/>
        <v>values('08801253','01', '08', 'ABDUL', sysdate, '10.6.100.63');</v>
      </c>
      <c r="W127" s="12" t="str">
        <f t="shared" si="28"/>
        <v>INSERT INTO sy_perm_list (USER_CD, OPT_CD, ACCESS_TYPE, BRANCH_CODE, CLASS_CODE, ENT_BY, ENT_DATE, ENT_BY_IP)</v>
      </c>
      <c r="X127" s="12" t="str">
        <f t="shared" si="29"/>
        <v>VALUES('08801253','ClaimComments.aspx', 'USER', '01', '08', 'ABDUL', SYSDATE, '10.6.100.63');</v>
      </c>
      <c r="Y127" s="12" t="str">
        <f t="shared" si="30"/>
        <v>INSERT INTO sy_perm_list (USER_CD, OPT_CD, ACCESS_TYPE, BRANCH_CODE, CLASS_CODE, ENT_BY, ENT_DATE, ENT_BY_IP)</v>
      </c>
      <c r="Z127" s="12" t="str">
        <f t="shared" si="31"/>
        <v>VALUES('08801253','ClaimDocs.aspx', 'USER', '01', '08', 'ABDUL', SYSDATE, '10.6.100.63');</v>
      </c>
      <c r="AA127" s="12" t="str">
        <f t="shared" si="32"/>
        <v>INSERT INTO sy_perm_list (USER_CD, OPT_CD, ACCESS_TYPE, BRANCH_CODE, CLASS_CODE, ENT_BY, ENT_DATE, ENT_BY_IP)</v>
      </c>
      <c r="AB127" s="12" t="str">
        <f t="shared" si="33"/>
        <v>VALUES('08801253','Client.aspx', 'USER', '01', '08', 'ABDUL', SYSDATE, '10.6.100.63');</v>
      </c>
      <c r="AC127" s="12" t="str">
        <f t="shared" si="34"/>
        <v>INSERT INTO sy_perm_list (USER_CD, OPT_CD, ACCESS_TYPE, BRANCH_CODE, CLASS_CODE, ENT_BY, ENT_DATE, ENT_BY_IP)</v>
      </c>
      <c r="AD127" s="12" t="str">
        <f t="shared" si="35"/>
        <v>VALUES('08801253','ClientReports.aspx', 'USER', '01', '08', 'ABDUL', SYSDATE, '10.6.100.63');</v>
      </c>
      <c r="AE127" s="12" t="str">
        <f t="shared" si="36"/>
        <v>INSERT INTO sy_perm_list (USER_CD, OPT_CD, ACCESS_TYPE, BRANCH_CODE, CLASS_CODE, ENT_BY, ENT_DATE, ENT_BY_IP)</v>
      </c>
      <c r="AF127" s="12" t="str">
        <f t="shared" si="37"/>
        <v>VALUES('08801253','ClientRequests.aspx', 'USER', '01', '08', 'ABDUL', SYSDATE, '10.6.100.63');</v>
      </c>
      <c r="AG127" s="12" t="str">
        <f t="shared" si="38"/>
        <v>INSERT INTO sy_perm_list (USER_CD, OPT_CD, ACCESS_TYPE, BRANCH_CODE, CLASS_CODE, ENT_BY, ENT_DATE, ENT_BY_IP)</v>
      </c>
      <c r="AH127" s="12" t="str">
        <f t="shared" si="39"/>
        <v>VALUES('08801253','HealthLife.aspx', 'USER', '01', '08', 'ABDUL', SYSDATE, '10.6.100.63');</v>
      </c>
      <c r="AI127" s="12" t="str">
        <f t="shared" si="40"/>
        <v>INSERT INTO sy_perm_list (USER_CD, OPT_CD, ACCESS_TYPE, BRANCH_CODE, CLASS_CODE, ENT_BY, ENT_DATE, ENT_BY_IP)</v>
      </c>
      <c r="AJ127" s="12" t="str">
        <f t="shared" si="41"/>
        <v>VALUES('08801253','IpdClaim.aspx', 'USER', '01', '08', 'ABDUL', SYSDATE, '10.6.100.63');</v>
      </c>
      <c r="AK127" s="12" t="str">
        <f t="shared" si="42"/>
        <v>INSERT INTO sy_perm_list (USER_CD, OPT_CD, ACCESS_TYPE, BRANCH_CODE, CLASS_CODE, ENT_BY, ENT_DATE, ENT_BY_IP)</v>
      </c>
      <c r="AL127" s="12" t="str">
        <f t="shared" si="43"/>
        <v>VALUES('08801253','OpdClaim.aspx', 'USER', '01', '08', 'ABDUL', SYSDATE, '10.6.100.63');</v>
      </c>
      <c r="AM127" s="12" t="str">
        <f t="shared" si="44"/>
        <v>INSERT INTO sy_perm_list (USER_CD, OPT_CD, ACCESS_TYPE, BRANCH_CODE, CLASS_CODE, ENT_BY, ENT_DATE, ENT_BY_IP)</v>
      </c>
      <c r="AN127" s="12" t="str">
        <f t="shared" si="45"/>
        <v>VALUES('08801253','RequestDetails.aspx', 'USER', '01', '08', 'ABDUL', SYSDATE, '10.6.100.63');</v>
      </c>
      <c r="AO127" s="12" t="str">
        <f t="shared" si="46"/>
        <v>INSERT INTO sy_perm_list (USER_CD, OPT_CD, ACCESS_TYPE, BRANCH_CODE, CLASS_CODE, ENT_BY, ENT_DATE, ENT_BY_IP)</v>
      </c>
      <c r="AP127" s="12" t="str">
        <f t="shared" si="47"/>
        <v>VALUES('08801253','TodaysRequest.aspx', 'USER', '01', '08', 'ABDUL', SYSDATE, '10.6.100.63');</v>
      </c>
    </row>
    <row r="128" spans="1:42" s="6" customFormat="1" ht="76.5" x14ac:dyDescent="0.2">
      <c r="A128" s="4">
        <v>112</v>
      </c>
      <c r="B128" s="5" t="s">
        <v>763</v>
      </c>
      <c r="C128" s="5">
        <v>9000221</v>
      </c>
      <c r="D128" s="6" t="s">
        <v>285</v>
      </c>
      <c r="E128" s="6" t="s">
        <v>286</v>
      </c>
      <c r="F128" s="5" t="s">
        <v>287</v>
      </c>
      <c r="G128" s="6" t="s">
        <v>288</v>
      </c>
      <c r="H128" s="5" t="s">
        <v>649</v>
      </c>
      <c r="I128" s="5">
        <v>745</v>
      </c>
      <c r="J128" s="5" t="s">
        <v>459</v>
      </c>
      <c r="K128" s="6" t="s">
        <v>84</v>
      </c>
      <c r="L128" s="6" t="s">
        <v>53</v>
      </c>
      <c r="M128" s="6" t="s">
        <v>54</v>
      </c>
      <c r="N128" s="7">
        <v>44223</v>
      </c>
      <c r="O128" s="7">
        <v>44214</v>
      </c>
      <c r="P128" s="7">
        <v>44578</v>
      </c>
      <c r="Q128" s="8">
        <v>95</v>
      </c>
      <c r="R128" s="8">
        <v>373</v>
      </c>
      <c r="S12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28" s="12" t="str">
        <f t="shared" si="25"/>
        <v>VALUES('08801730','PAKISTAN EMPLOYEES COOPERATIVE HOUSING SOCIETY','Salaam@123','Y','N',sysdate,'016', 'C', 'Client', 'pechsociety@gmail.com','01','B', '08', 'ABDUL', sysdate, '10.6.100.63', '08801730');</v>
      </c>
      <c r="U128" s="12" t="str">
        <f t="shared" si="26"/>
        <v>INSERT INTO sy_user_branches (USER_CD, BRANCH_CODE, CLASS_CODE, ENT_BY, ENT_DATE, ENT_BY_IP)</v>
      </c>
      <c r="V128" s="12" t="str">
        <f t="shared" si="27"/>
        <v>values('08801730','01', '08', 'ABDUL', sysdate, '10.6.100.63');</v>
      </c>
      <c r="W128" s="12" t="str">
        <f t="shared" si="28"/>
        <v>INSERT INTO sy_perm_list (USER_CD, OPT_CD, ACCESS_TYPE, BRANCH_CODE, CLASS_CODE, ENT_BY, ENT_DATE, ENT_BY_IP)</v>
      </c>
      <c r="X128" s="12" t="str">
        <f t="shared" si="29"/>
        <v>VALUES('08801730','ClaimComments.aspx', 'USER', '01', '08', 'ABDUL', SYSDATE, '10.6.100.63');</v>
      </c>
      <c r="Y128" s="12" t="str">
        <f t="shared" si="30"/>
        <v>INSERT INTO sy_perm_list (USER_CD, OPT_CD, ACCESS_TYPE, BRANCH_CODE, CLASS_CODE, ENT_BY, ENT_DATE, ENT_BY_IP)</v>
      </c>
      <c r="Z128" s="12" t="str">
        <f t="shared" si="31"/>
        <v>VALUES('08801730','ClaimDocs.aspx', 'USER', '01', '08', 'ABDUL', SYSDATE, '10.6.100.63');</v>
      </c>
      <c r="AA128" s="12" t="str">
        <f t="shared" si="32"/>
        <v>INSERT INTO sy_perm_list (USER_CD, OPT_CD, ACCESS_TYPE, BRANCH_CODE, CLASS_CODE, ENT_BY, ENT_DATE, ENT_BY_IP)</v>
      </c>
      <c r="AB128" s="12" t="str">
        <f t="shared" si="33"/>
        <v>VALUES('08801730','Client.aspx', 'USER', '01', '08', 'ABDUL', SYSDATE, '10.6.100.63');</v>
      </c>
      <c r="AC128" s="12" t="str">
        <f t="shared" si="34"/>
        <v>INSERT INTO sy_perm_list (USER_CD, OPT_CD, ACCESS_TYPE, BRANCH_CODE, CLASS_CODE, ENT_BY, ENT_DATE, ENT_BY_IP)</v>
      </c>
      <c r="AD128" s="12" t="str">
        <f t="shared" si="35"/>
        <v>VALUES('08801730','ClientReports.aspx', 'USER', '01', '08', 'ABDUL', SYSDATE, '10.6.100.63');</v>
      </c>
      <c r="AE128" s="12" t="str">
        <f t="shared" si="36"/>
        <v>INSERT INTO sy_perm_list (USER_CD, OPT_CD, ACCESS_TYPE, BRANCH_CODE, CLASS_CODE, ENT_BY, ENT_DATE, ENT_BY_IP)</v>
      </c>
      <c r="AF128" s="12" t="str">
        <f t="shared" si="37"/>
        <v>VALUES('08801730','ClientRequests.aspx', 'USER', '01', '08', 'ABDUL', SYSDATE, '10.6.100.63');</v>
      </c>
      <c r="AG128" s="12" t="str">
        <f t="shared" si="38"/>
        <v>INSERT INTO sy_perm_list (USER_CD, OPT_CD, ACCESS_TYPE, BRANCH_CODE, CLASS_CODE, ENT_BY, ENT_DATE, ENT_BY_IP)</v>
      </c>
      <c r="AH128" s="12" t="str">
        <f t="shared" si="39"/>
        <v>VALUES('08801730','HealthLife.aspx', 'USER', '01', '08', 'ABDUL', SYSDATE, '10.6.100.63');</v>
      </c>
      <c r="AI128" s="12" t="str">
        <f t="shared" si="40"/>
        <v>INSERT INTO sy_perm_list (USER_CD, OPT_CD, ACCESS_TYPE, BRANCH_CODE, CLASS_CODE, ENT_BY, ENT_DATE, ENT_BY_IP)</v>
      </c>
      <c r="AJ128" s="12" t="str">
        <f t="shared" si="41"/>
        <v>VALUES('08801730','IpdClaim.aspx', 'USER', '01', '08', 'ABDUL', SYSDATE, '10.6.100.63');</v>
      </c>
      <c r="AK128" s="12" t="str">
        <f t="shared" si="42"/>
        <v>INSERT INTO sy_perm_list (USER_CD, OPT_CD, ACCESS_TYPE, BRANCH_CODE, CLASS_CODE, ENT_BY, ENT_DATE, ENT_BY_IP)</v>
      </c>
      <c r="AL128" s="12" t="str">
        <f t="shared" si="43"/>
        <v>VALUES('08801730','OpdClaim.aspx', 'USER', '01', '08', 'ABDUL', SYSDATE, '10.6.100.63');</v>
      </c>
      <c r="AM128" s="12" t="str">
        <f t="shared" si="44"/>
        <v>INSERT INTO sy_perm_list (USER_CD, OPT_CD, ACCESS_TYPE, BRANCH_CODE, CLASS_CODE, ENT_BY, ENT_DATE, ENT_BY_IP)</v>
      </c>
      <c r="AN128" s="12" t="str">
        <f t="shared" si="45"/>
        <v>VALUES('08801730','RequestDetails.aspx', 'USER', '01', '08', 'ABDUL', SYSDATE, '10.6.100.63');</v>
      </c>
      <c r="AO128" s="12" t="str">
        <f t="shared" si="46"/>
        <v>INSERT INTO sy_perm_list (USER_CD, OPT_CD, ACCESS_TYPE, BRANCH_CODE, CLASS_CODE, ENT_BY, ENT_DATE, ENT_BY_IP)</v>
      </c>
      <c r="AP128" s="12" t="str">
        <f t="shared" si="47"/>
        <v>VALUES('08801730','TodaysRequest.aspx', 'USER', '01', '08', 'ABDUL', SYSDATE, '10.6.100.63');</v>
      </c>
    </row>
    <row r="129" spans="1:42" s="6" customFormat="1" ht="15.75" thickBot="1" x14ac:dyDescent="0.25">
      <c r="A129" s="4"/>
      <c r="B129" s="5" t="s">
        <v>763</v>
      </c>
      <c r="C129" s="5">
        <v>9000221</v>
      </c>
      <c r="D129" s="6" t="s">
        <v>285</v>
      </c>
      <c r="E129" s="6" t="s">
        <v>286</v>
      </c>
      <c r="F129" s="5" t="s">
        <v>287</v>
      </c>
      <c r="G129" s="6" t="s">
        <v>288</v>
      </c>
      <c r="H129" s="5"/>
      <c r="I129" s="5">
        <v>1395</v>
      </c>
      <c r="J129" s="54" t="s">
        <v>1298</v>
      </c>
      <c r="K129" s="6" t="s">
        <v>84</v>
      </c>
      <c r="L129" s="6" t="s">
        <v>53</v>
      </c>
      <c r="M129" s="6" t="s">
        <v>54</v>
      </c>
      <c r="N129" s="7">
        <v>44223</v>
      </c>
      <c r="O129" s="7">
        <v>44214</v>
      </c>
      <c r="P129" s="7"/>
      <c r="Q129" s="8"/>
      <c r="R129" s="8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</row>
    <row r="130" spans="1:42" s="6" customFormat="1" ht="76.5" x14ac:dyDescent="0.2">
      <c r="A130" s="4">
        <v>113</v>
      </c>
      <c r="B130" s="5" t="s">
        <v>764</v>
      </c>
      <c r="C130" s="5">
        <v>9000218</v>
      </c>
      <c r="D130" s="6" t="s">
        <v>310</v>
      </c>
      <c r="E130" s="6" t="s">
        <v>299</v>
      </c>
      <c r="F130" s="5" t="s">
        <v>287</v>
      </c>
      <c r="G130" s="6" t="s">
        <v>288</v>
      </c>
      <c r="H130" s="5" t="s">
        <v>649</v>
      </c>
      <c r="I130" s="5">
        <v>793</v>
      </c>
      <c r="J130" s="5" t="s">
        <v>516</v>
      </c>
      <c r="K130" s="6" t="s">
        <v>517</v>
      </c>
      <c r="L130" s="6" t="s">
        <v>234</v>
      </c>
      <c r="M130" s="6" t="s">
        <v>235</v>
      </c>
      <c r="N130" s="7">
        <v>44256</v>
      </c>
      <c r="O130" s="7">
        <v>44256</v>
      </c>
      <c r="P130" s="7">
        <v>44620</v>
      </c>
      <c r="Q130" s="8">
        <v>170</v>
      </c>
      <c r="R130" s="8">
        <v>612</v>
      </c>
      <c r="S13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0" s="12" t="str">
        <f t="shared" si="25"/>
        <v>VALUES('08801798','PARAGON CONSTRUCTORS (PRIVATE) LIMITED','Salaam@123','Y','N',sysdate,'016', 'C', 'Client', 'abdullah@paragon.com.pk','01','B', '08', 'ABDUL', sysdate, '10.6.100.63', '08801798');</v>
      </c>
      <c r="U130" s="12" t="str">
        <f t="shared" si="26"/>
        <v>INSERT INTO sy_user_branches (USER_CD, BRANCH_CODE, CLASS_CODE, ENT_BY, ENT_DATE, ENT_BY_IP)</v>
      </c>
      <c r="V130" s="12" t="str">
        <f t="shared" si="27"/>
        <v>values('08801798','01', '08', 'ABDUL', sysdate, '10.6.100.63');</v>
      </c>
      <c r="W130" s="12" t="str">
        <f t="shared" si="28"/>
        <v>INSERT INTO sy_perm_list (USER_CD, OPT_CD, ACCESS_TYPE, BRANCH_CODE, CLASS_CODE, ENT_BY, ENT_DATE, ENT_BY_IP)</v>
      </c>
      <c r="X130" s="12" t="str">
        <f t="shared" si="29"/>
        <v>VALUES('08801798','ClaimComments.aspx', 'USER', '01', '08', 'ABDUL', SYSDATE, '10.6.100.63');</v>
      </c>
      <c r="Y130" s="12" t="str">
        <f t="shared" si="30"/>
        <v>INSERT INTO sy_perm_list (USER_CD, OPT_CD, ACCESS_TYPE, BRANCH_CODE, CLASS_CODE, ENT_BY, ENT_DATE, ENT_BY_IP)</v>
      </c>
      <c r="Z130" s="12" t="str">
        <f t="shared" si="31"/>
        <v>VALUES('08801798','ClaimDocs.aspx', 'USER', '01', '08', 'ABDUL', SYSDATE, '10.6.100.63');</v>
      </c>
      <c r="AA130" s="12" t="str">
        <f t="shared" si="32"/>
        <v>INSERT INTO sy_perm_list (USER_CD, OPT_CD, ACCESS_TYPE, BRANCH_CODE, CLASS_CODE, ENT_BY, ENT_DATE, ENT_BY_IP)</v>
      </c>
      <c r="AB130" s="12" t="str">
        <f t="shared" si="33"/>
        <v>VALUES('08801798','Client.aspx', 'USER', '01', '08', 'ABDUL', SYSDATE, '10.6.100.63');</v>
      </c>
      <c r="AC130" s="12" t="str">
        <f t="shared" si="34"/>
        <v>INSERT INTO sy_perm_list (USER_CD, OPT_CD, ACCESS_TYPE, BRANCH_CODE, CLASS_CODE, ENT_BY, ENT_DATE, ENT_BY_IP)</v>
      </c>
      <c r="AD130" s="12" t="str">
        <f t="shared" si="35"/>
        <v>VALUES('08801798','ClientReports.aspx', 'USER', '01', '08', 'ABDUL', SYSDATE, '10.6.100.63');</v>
      </c>
      <c r="AE130" s="12" t="str">
        <f t="shared" si="36"/>
        <v>INSERT INTO sy_perm_list (USER_CD, OPT_CD, ACCESS_TYPE, BRANCH_CODE, CLASS_CODE, ENT_BY, ENT_DATE, ENT_BY_IP)</v>
      </c>
      <c r="AF130" s="12" t="str">
        <f t="shared" si="37"/>
        <v>VALUES('08801798','ClientRequests.aspx', 'USER', '01', '08', 'ABDUL', SYSDATE, '10.6.100.63');</v>
      </c>
      <c r="AG130" s="12" t="str">
        <f t="shared" si="38"/>
        <v>INSERT INTO sy_perm_list (USER_CD, OPT_CD, ACCESS_TYPE, BRANCH_CODE, CLASS_CODE, ENT_BY, ENT_DATE, ENT_BY_IP)</v>
      </c>
      <c r="AH130" s="12" t="str">
        <f t="shared" si="39"/>
        <v>VALUES('08801798','HealthLife.aspx', 'USER', '01', '08', 'ABDUL', SYSDATE, '10.6.100.63');</v>
      </c>
      <c r="AI130" s="12" t="str">
        <f t="shared" si="40"/>
        <v>INSERT INTO sy_perm_list (USER_CD, OPT_CD, ACCESS_TYPE, BRANCH_CODE, CLASS_CODE, ENT_BY, ENT_DATE, ENT_BY_IP)</v>
      </c>
      <c r="AJ130" s="12" t="str">
        <f t="shared" si="41"/>
        <v>VALUES('08801798','IpdClaim.aspx', 'USER', '01', '08', 'ABDUL', SYSDATE, '10.6.100.63');</v>
      </c>
      <c r="AK130" s="12" t="str">
        <f t="shared" si="42"/>
        <v>INSERT INTO sy_perm_list (USER_CD, OPT_CD, ACCESS_TYPE, BRANCH_CODE, CLASS_CODE, ENT_BY, ENT_DATE, ENT_BY_IP)</v>
      </c>
      <c r="AL130" s="12" t="str">
        <f t="shared" si="43"/>
        <v>VALUES('08801798','OpdClaim.aspx', 'USER', '01', '08', 'ABDUL', SYSDATE, '10.6.100.63');</v>
      </c>
      <c r="AM130" s="12" t="str">
        <f t="shared" si="44"/>
        <v>INSERT INTO sy_perm_list (USER_CD, OPT_CD, ACCESS_TYPE, BRANCH_CODE, CLASS_CODE, ENT_BY, ENT_DATE, ENT_BY_IP)</v>
      </c>
      <c r="AN130" s="12" t="str">
        <f t="shared" si="45"/>
        <v>VALUES('08801798','RequestDetails.aspx', 'USER', '01', '08', 'ABDUL', SYSDATE, '10.6.100.63');</v>
      </c>
      <c r="AO130" s="12" t="str">
        <f t="shared" si="46"/>
        <v>INSERT INTO sy_perm_list (USER_CD, OPT_CD, ACCESS_TYPE, BRANCH_CODE, CLASS_CODE, ENT_BY, ENT_DATE, ENT_BY_IP)</v>
      </c>
      <c r="AP130" s="12" t="str">
        <f t="shared" si="47"/>
        <v>VALUES('08801798','TodaysRequest.aspx', 'USER', '01', '08', 'ABDUL', SYSDATE, '10.6.100.63');</v>
      </c>
    </row>
    <row r="131" spans="1:42" s="6" customFormat="1" ht="89.25" x14ac:dyDescent="0.2">
      <c r="A131" s="4">
        <v>114</v>
      </c>
      <c r="B131" s="5" t="s">
        <v>765</v>
      </c>
      <c r="C131" s="5">
        <v>9000218</v>
      </c>
      <c r="D131" s="6" t="s">
        <v>310</v>
      </c>
      <c r="E131" s="6" t="s">
        <v>299</v>
      </c>
      <c r="F131" s="5" t="s">
        <v>287</v>
      </c>
      <c r="G131" s="6" t="s">
        <v>288</v>
      </c>
      <c r="H131" s="5" t="s">
        <v>649</v>
      </c>
      <c r="I131" s="5">
        <v>700</v>
      </c>
      <c r="J131" s="5" t="s">
        <v>412</v>
      </c>
      <c r="K131" s="6" t="s">
        <v>16</v>
      </c>
      <c r="L131" s="6" t="s">
        <v>95</v>
      </c>
      <c r="M131" s="6" t="s">
        <v>97</v>
      </c>
      <c r="N131" s="7">
        <v>44191</v>
      </c>
      <c r="O131" s="7">
        <v>44196</v>
      </c>
      <c r="P131" s="7">
        <v>44561</v>
      </c>
      <c r="Q131" s="8">
        <v>321</v>
      </c>
      <c r="R131" s="8">
        <v>879</v>
      </c>
      <c r="S13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1" s="12" t="str">
        <f t="shared" si="25"/>
        <v>VALUES('08801455','PAXAR PAKISTAN (PRIVATE) LIMITED','Salaam@123','Y','N',sysdate,'016', 'C', 'Client', 'dawood.mustafa@ap.averydennison.com','01','B', '08', 'ABDUL', sysdate, '10.6.100.63', '08801455');</v>
      </c>
      <c r="U131" s="12" t="str">
        <f t="shared" si="26"/>
        <v>INSERT INTO sy_user_branches (USER_CD, BRANCH_CODE, CLASS_CODE, ENT_BY, ENT_DATE, ENT_BY_IP)</v>
      </c>
      <c r="V131" s="12" t="str">
        <f t="shared" si="27"/>
        <v>values('08801455','01', '08', 'ABDUL', sysdate, '10.6.100.63');</v>
      </c>
      <c r="W131" s="12" t="str">
        <f t="shared" si="28"/>
        <v>INSERT INTO sy_perm_list (USER_CD, OPT_CD, ACCESS_TYPE, BRANCH_CODE, CLASS_CODE, ENT_BY, ENT_DATE, ENT_BY_IP)</v>
      </c>
      <c r="X131" s="12" t="str">
        <f t="shared" si="29"/>
        <v>VALUES('08801455','ClaimComments.aspx', 'USER', '01', '08', 'ABDUL', SYSDATE, '10.6.100.63');</v>
      </c>
      <c r="Y131" s="12" t="str">
        <f t="shared" si="30"/>
        <v>INSERT INTO sy_perm_list (USER_CD, OPT_CD, ACCESS_TYPE, BRANCH_CODE, CLASS_CODE, ENT_BY, ENT_DATE, ENT_BY_IP)</v>
      </c>
      <c r="Z131" s="12" t="str">
        <f t="shared" si="31"/>
        <v>VALUES('08801455','ClaimDocs.aspx', 'USER', '01', '08', 'ABDUL', SYSDATE, '10.6.100.63');</v>
      </c>
      <c r="AA131" s="12" t="str">
        <f t="shared" si="32"/>
        <v>INSERT INTO sy_perm_list (USER_CD, OPT_CD, ACCESS_TYPE, BRANCH_CODE, CLASS_CODE, ENT_BY, ENT_DATE, ENT_BY_IP)</v>
      </c>
      <c r="AB131" s="12" t="str">
        <f t="shared" si="33"/>
        <v>VALUES('08801455','Client.aspx', 'USER', '01', '08', 'ABDUL', SYSDATE, '10.6.100.63');</v>
      </c>
      <c r="AC131" s="12" t="str">
        <f t="shared" si="34"/>
        <v>INSERT INTO sy_perm_list (USER_CD, OPT_CD, ACCESS_TYPE, BRANCH_CODE, CLASS_CODE, ENT_BY, ENT_DATE, ENT_BY_IP)</v>
      </c>
      <c r="AD131" s="12" t="str">
        <f t="shared" si="35"/>
        <v>VALUES('08801455','ClientReports.aspx', 'USER', '01', '08', 'ABDUL', SYSDATE, '10.6.100.63');</v>
      </c>
      <c r="AE131" s="12" t="str">
        <f t="shared" si="36"/>
        <v>INSERT INTO sy_perm_list (USER_CD, OPT_CD, ACCESS_TYPE, BRANCH_CODE, CLASS_CODE, ENT_BY, ENT_DATE, ENT_BY_IP)</v>
      </c>
      <c r="AF131" s="12" t="str">
        <f t="shared" si="37"/>
        <v>VALUES('08801455','ClientRequests.aspx', 'USER', '01', '08', 'ABDUL', SYSDATE, '10.6.100.63');</v>
      </c>
      <c r="AG131" s="12" t="str">
        <f t="shared" si="38"/>
        <v>INSERT INTO sy_perm_list (USER_CD, OPT_CD, ACCESS_TYPE, BRANCH_CODE, CLASS_CODE, ENT_BY, ENT_DATE, ENT_BY_IP)</v>
      </c>
      <c r="AH131" s="12" t="str">
        <f t="shared" si="39"/>
        <v>VALUES('08801455','HealthLife.aspx', 'USER', '01', '08', 'ABDUL', SYSDATE, '10.6.100.63');</v>
      </c>
      <c r="AI131" s="12" t="str">
        <f t="shared" si="40"/>
        <v>INSERT INTO sy_perm_list (USER_CD, OPT_CD, ACCESS_TYPE, BRANCH_CODE, CLASS_CODE, ENT_BY, ENT_DATE, ENT_BY_IP)</v>
      </c>
      <c r="AJ131" s="12" t="str">
        <f t="shared" si="41"/>
        <v>VALUES('08801455','IpdClaim.aspx', 'USER', '01', '08', 'ABDUL', SYSDATE, '10.6.100.63');</v>
      </c>
      <c r="AK131" s="12" t="str">
        <f t="shared" si="42"/>
        <v>INSERT INTO sy_perm_list (USER_CD, OPT_CD, ACCESS_TYPE, BRANCH_CODE, CLASS_CODE, ENT_BY, ENT_DATE, ENT_BY_IP)</v>
      </c>
      <c r="AL131" s="12" t="str">
        <f t="shared" si="43"/>
        <v>VALUES('08801455','OpdClaim.aspx', 'USER', '01', '08', 'ABDUL', SYSDATE, '10.6.100.63');</v>
      </c>
      <c r="AM131" s="12" t="str">
        <f t="shared" si="44"/>
        <v>INSERT INTO sy_perm_list (USER_CD, OPT_CD, ACCESS_TYPE, BRANCH_CODE, CLASS_CODE, ENT_BY, ENT_DATE, ENT_BY_IP)</v>
      </c>
      <c r="AN131" s="12" t="str">
        <f t="shared" si="45"/>
        <v>VALUES('08801455','RequestDetails.aspx', 'USER', '01', '08', 'ABDUL', SYSDATE, '10.6.100.63');</v>
      </c>
      <c r="AO131" s="12" t="str">
        <f t="shared" si="46"/>
        <v>INSERT INTO sy_perm_list (USER_CD, OPT_CD, ACCESS_TYPE, BRANCH_CODE, CLASS_CODE, ENT_BY, ENT_DATE, ENT_BY_IP)</v>
      </c>
      <c r="AP131" s="12" t="str">
        <f t="shared" si="47"/>
        <v>VALUES('08801455','TodaysRequest.aspx', 'USER', '01', '08', 'ABDUL', SYSDATE, '10.6.100.63');</v>
      </c>
    </row>
    <row r="132" spans="1:42" s="6" customFormat="1" ht="76.5" x14ac:dyDescent="0.2">
      <c r="A132" s="4">
        <v>115</v>
      </c>
      <c r="B132" s="5" t="s">
        <v>766</v>
      </c>
      <c r="C132" s="5">
        <v>9000236</v>
      </c>
      <c r="D132" s="6" t="s">
        <v>329</v>
      </c>
      <c r="E132" s="6" t="s">
        <v>290</v>
      </c>
      <c r="F132" s="5" t="s">
        <v>287</v>
      </c>
      <c r="G132" s="6" t="s">
        <v>288</v>
      </c>
      <c r="H132" s="5" t="s">
        <v>652</v>
      </c>
      <c r="I132" s="5">
        <v>749</v>
      </c>
      <c r="J132" s="5" t="s">
        <v>463</v>
      </c>
      <c r="K132" s="6" t="s">
        <v>464</v>
      </c>
      <c r="L132" s="6" t="s">
        <v>617</v>
      </c>
      <c r="M132" s="6" t="s">
        <v>618</v>
      </c>
      <c r="N132" s="7">
        <v>44225</v>
      </c>
      <c r="O132" s="7">
        <v>44224</v>
      </c>
      <c r="P132" s="7">
        <v>44561</v>
      </c>
      <c r="Q132" s="8">
        <v>88</v>
      </c>
      <c r="R132" s="8">
        <v>400</v>
      </c>
      <c r="S13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2" s="12" t="str">
        <f t="shared" si="25"/>
        <v>VALUES('08801349','PENNY APPEAL','Salaam@123','Y','N',sysdate,'016', 'C', 'Client', 'uzma@pennyappeal.org.pk','01','B', '08', 'ABDUL', sysdate, '10.6.100.63', '08801349');</v>
      </c>
      <c r="U132" s="12" t="str">
        <f t="shared" si="26"/>
        <v>INSERT INTO sy_user_branches (USER_CD, BRANCH_CODE, CLASS_CODE, ENT_BY, ENT_DATE, ENT_BY_IP)</v>
      </c>
      <c r="V132" s="12" t="str">
        <f t="shared" si="27"/>
        <v>values('08801349','01', '08', 'ABDUL', sysdate, '10.6.100.63');</v>
      </c>
      <c r="W132" s="12" t="str">
        <f t="shared" si="28"/>
        <v>INSERT INTO sy_perm_list (USER_CD, OPT_CD, ACCESS_TYPE, BRANCH_CODE, CLASS_CODE, ENT_BY, ENT_DATE, ENT_BY_IP)</v>
      </c>
      <c r="X132" s="12" t="str">
        <f t="shared" si="29"/>
        <v>VALUES('08801349','ClaimComments.aspx', 'USER', '01', '08', 'ABDUL', SYSDATE, '10.6.100.63');</v>
      </c>
      <c r="Y132" s="12" t="str">
        <f t="shared" si="30"/>
        <v>INSERT INTO sy_perm_list (USER_CD, OPT_CD, ACCESS_TYPE, BRANCH_CODE, CLASS_CODE, ENT_BY, ENT_DATE, ENT_BY_IP)</v>
      </c>
      <c r="Z132" s="12" t="str">
        <f t="shared" si="31"/>
        <v>VALUES('08801349','ClaimDocs.aspx', 'USER', '01', '08', 'ABDUL', SYSDATE, '10.6.100.63');</v>
      </c>
      <c r="AA132" s="12" t="str">
        <f t="shared" si="32"/>
        <v>INSERT INTO sy_perm_list (USER_CD, OPT_CD, ACCESS_TYPE, BRANCH_CODE, CLASS_CODE, ENT_BY, ENT_DATE, ENT_BY_IP)</v>
      </c>
      <c r="AB132" s="12" t="str">
        <f t="shared" si="33"/>
        <v>VALUES('08801349','Client.aspx', 'USER', '01', '08', 'ABDUL', SYSDATE, '10.6.100.63');</v>
      </c>
      <c r="AC132" s="12" t="str">
        <f t="shared" si="34"/>
        <v>INSERT INTO sy_perm_list (USER_CD, OPT_CD, ACCESS_TYPE, BRANCH_CODE, CLASS_CODE, ENT_BY, ENT_DATE, ENT_BY_IP)</v>
      </c>
      <c r="AD132" s="12" t="str">
        <f t="shared" si="35"/>
        <v>VALUES('08801349','ClientReports.aspx', 'USER', '01', '08', 'ABDUL', SYSDATE, '10.6.100.63');</v>
      </c>
      <c r="AE132" s="12" t="str">
        <f t="shared" si="36"/>
        <v>INSERT INTO sy_perm_list (USER_CD, OPT_CD, ACCESS_TYPE, BRANCH_CODE, CLASS_CODE, ENT_BY, ENT_DATE, ENT_BY_IP)</v>
      </c>
      <c r="AF132" s="12" t="str">
        <f t="shared" si="37"/>
        <v>VALUES('08801349','ClientRequests.aspx', 'USER', '01', '08', 'ABDUL', SYSDATE, '10.6.100.63');</v>
      </c>
      <c r="AG132" s="12" t="str">
        <f t="shared" si="38"/>
        <v>INSERT INTO sy_perm_list (USER_CD, OPT_CD, ACCESS_TYPE, BRANCH_CODE, CLASS_CODE, ENT_BY, ENT_DATE, ENT_BY_IP)</v>
      </c>
      <c r="AH132" s="12" t="str">
        <f t="shared" si="39"/>
        <v>VALUES('08801349','HealthLife.aspx', 'USER', '01', '08', 'ABDUL', SYSDATE, '10.6.100.63');</v>
      </c>
      <c r="AI132" s="12" t="str">
        <f t="shared" si="40"/>
        <v>INSERT INTO sy_perm_list (USER_CD, OPT_CD, ACCESS_TYPE, BRANCH_CODE, CLASS_CODE, ENT_BY, ENT_DATE, ENT_BY_IP)</v>
      </c>
      <c r="AJ132" s="12" t="str">
        <f t="shared" si="41"/>
        <v>VALUES('08801349','IpdClaim.aspx', 'USER', '01', '08', 'ABDUL', SYSDATE, '10.6.100.63');</v>
      </c>
      <c r="AK132" s="12" t="str">
        <f t="shared" si="42"/>
        <v>INSERT INTO sy_perm_list (USER_CD, OPT_CD, ACCESS_TYPE, BRANCH_CODE, CLASS_CODE, ENT_BY, ENT_DATE, ENT_BY_IP)</v>
      </c>
      <c r="AL132" s="12" t="str">
        <f t="shared" si="43"/>
        <v>VALUES('08801349','OpdClaim.aspx', 'USER', '01', '08', 'ABDUL', SYSDATE, '10.6.100.63');</v>
      </c>
      <c r="AM132" s="12" t="str">
        <f t="shared" si="44"/>
        <v>INSERT INTO sy_perm_list (USER_CD, OPT_CD, ACCESS_TYPE, BRANCH_CODE, CLASS_CODE, ENT_BY, ENT_DATE, ENT_BY_IP)</v>
      </c>
      <c r="AN132" s="12" t="str">
        <f t="shared" si="45"/>
        <v>VALUES('08801349','RequestDetails.aspx', 'USER', '01', '08', 'ABDUL', SYSDATE, '10.6.100.63');</v>
      </c>
      <c r="AO132" s="12" t="str">
        <f t="shared" si="46"/>
        <v>INSERT INTO sy_perm_list (USER_CD, OPT_CD, ACCESS_TYPE, BRANCH_CODE, CLASS_CODE, ENT_BY, ENT_DATE, ENT_BY_IP)</v>
      </c>
      <c r="AP132" s="12" t="str">
        <f t="shared" si="47"/>
        <v>VALUES('08801349','TodaysRequest.aspx', 'USER', '01', '08', 'ABDUL', SYSDATE, '10.6.100.63');</v>
      </c>
    </row>
    <row r="133" spans="1:42" s="6" customFormat="1" ht="76.5" x14ac:dyDescent="0.2">
      <c r="A133" s="4">
        <v>116</v>
      </c>
      <c r="B133" s="5" t="s">
        <v>767</v>
      </c>
      <c r="C133" s="5">
        <v>9000221</v>
      </c>
      <c r="D133" s="6" t="s">
        <v>285</v>
      </c>
      <c r="E133" s="6" t="s">
        <v>286</v>
      </c>
      <c r="F133" s="5" t="s">
        <v>287</v>
      </c>
      <c r="G133" s="6" t="s">
        <v>288</v>
      </c>
      <c r="H133" s="5" t="s">
        <v>649</v>
      </c>
      <c r="I133" s="5">
        <v>769</v>
      </c>
      <c r="J133" s="5" t="s">
        <v>492</v>
      </c>
      <c r="K133" s="6" t="s">
        <v>493</v>
      </c>
      <c r="L133" s="6" t="s">
        <v>130</v>
      </c>
      <c r="M133" s="6" t="s">
        <v>129</v>
      </c>
      <c r="N133" s="7">
        <v>44244</v>
      </c>
      <c r="O133" s="7">
        <v>44225</v>
      </c>
      <c r="P133" s="7">
        <v>44589</v>
      </c>
      <c r="Q133" s="8">
        <v>314</v>
      </c>
      <c r="R133" s="8">
        <v>314</v>
      </c>
      <c r="S13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3" s="12" t="str">
        <f t="shared" si="25"/>
        <v>VALUES('08801209','PEOPLE SOURCE PLUS (SMC-PVT) LTD','Salaam@123','Y','N',sysdate,'016', 'C', 'Client', 'saad@peoplesourceplus.com','01','B', '08', 'ABDUL', sysdate, '10.6.100.63', '08801209');</v>
      </c>
      <c r="U133" s="12" t="str">
        <f t="shared" si="26"/>
        <v>INSERT INTO sy_user_branches (USER_CD, BRANCH_CODE, CLASS_CODE, ENT_BY, ENT_DATE, ENT_BY_IP)</v>
      </c>
      <c r="V133" s="12" t="str">
        <f t="shared" si="27"/>
        <v>values('08801209','01', '08', 'ABDUL', sysdate, '10.6.100.63');</v>
      </c>
      <c r="W133" s="12" t="str">
        <f t="shared" si="28"/>
        <v>INSERT INTO sy_perm_list (USER_CD, OPT_CD, ACCESS_TYPE, BRANCH_CODE, CLASS_CODE, ENT_BY, ENT_DATE, ENT_BY_IP)</v>
      </c>
      <c r="X133" s="12" t="str">
        <f t="shared" si="29"/>
        <v>VALUES('08801209','ClaimComments.aspx', 'USER', '01', '08', 'ABDUL', SYSDATE, '10.6.100.63');</v>
      </c>
      <c r="Y133" s="12" t="str">
        <f t="shared" si="30"/>
        <v>INSERT INTO sy_perm_list (USER_CD, OPT_CD, ACCESS_TYPE, BRANCH_CODE, CLASS_CODE, ENT_BY, ENT_DATE, ENT_BY_IP)</v>
      </c>
      <c r="Z133" s="12" t="str">
        <f t="shared" si="31"/>
        <v>VALUES('08801209','ClaimDocs.aspx', 'USER', '01', '08', 'ABDUL', SYSDATE, '10.6.100.63');</v>
      </c>
      <c r="AA133" s="12" t="str">
        <f t="shared" si="32"/>
        <v>INSERT INTO sy_perm_list (USER_CD, OPT_CD, ACCESS_TYPE, BRANCH_CODE, CLASS_CODE, ENT_BY, ENT_DATE, ENT_BY_IP)</v>
      </c>
      <c r="AB133" s="12" t="str">
        <f t="shared" si="33"/>
        <v>VALUES('08801209','Client.aspx', 'USER', '01', '08', 'ABDUL', SYSDATE, '10.6.100.63');</v>
      </c>
      <c r="AC133" s="12" t="str">
        <f t="shared" si="34"/>
        <v>INSERT INTO sy_perm_list (USER_CD, OPT_CD, ACCESS_TYPE, BRANCH_CODE, CLASS_CODE, ENT_BY, ENT_DATE, ENT_BY_IP)</v>
      </c>
      <c r="AD133" s="12" t="str">
        <f t="shared" si="35"/>
        <v>VALUES('08801209','ClientReports.aspx', 'USER', '01', '08', 'ABDUL', SYSDATE, '10.6.100.63');</v>
      </c>
      <c r="AE133" s="12" t="str">
        <f t="shared" si="36"/>
        <v>INSERT INTO sy_perm_list (USER_CD, OPT_CD, ACCESS_TYPE, BRANCH_CODE, CLASS_CODE, ENT_BY, ENT_DATE, ENT_BY_IP)</v>
      </c>
      <c r="AF133" s="12" t="str">
        <f t="shared" si="37"/>
        <v>VALUES('08801209','ClientRequests.aspx', 'USER', '01', '08', 'ABDUL', SYSDATE, '10.6.100.63');</v>
      </c>
      <c r="AG133" s="12" t="str">
        <f t="shared" si="38"/>
        <v>INSERT INTO sy_perm_list (USER_CD, OPT_CD, ACCESS_TYPE, BRANCH_CODE, CLASS_CODE, ENT_BY, ENT_DATE, ENT_BY_IP)</v>
      </c>
      <c r="AH133" s="12" t="str">
        <f t="shared" si="39"/>
        <v>VALUES('08801209','HealthLife.aspx', 'USER', '01', '08', 'ABDUL', SYSDATE, '10.6.100.63');</v>
      </c>
      <c r="AI133" s="12" t="str">
        <f t="shared" si="40"/>
        <v>INSERT INTO sy_perm_list (USER_CD, OPT_CD, ACCESS_TYPE, BRANCH_CODE, CLASS_CODE, ENT_BY, ENT_DATE, ENT_BY_IP)</v>
      </c>
      <c r="AJ133" s="12" t="str">
        <f t="shared" si="41"/>
        <v>VALUES('08801209','IpdClaim.aspx', 'USER', '01', '08', 'ABDUL', SYSDATE, '10.6.100.63');</v>
      </c>
      <c r="AK133" s="12" t="str">
        <f t="shared" si="42"/>
        <v>INSERT INTO sy_perm_list (USER_CD, OPT_CD, ACCESS_TYPE, BRANCH_CODE, CLASS_CODE, ENT_BY, ENT_DATE, ENT_BY_IP)</v>
      </c>
      <c r="AL133" s="12" t="str">
        <f t="shared" si="43"/>
        <v>VALUES('08801209','OpdClaim.aspx', 'USER', '01', '08', 'ABDUL', SYSDATE, '10.6.100.63');</v>
      </c>
      <c r="AM133" s="12" t="str">
        <f t="shared" si="44"/>
        <v>INSERT INTO sy_perm_list (USER_CD, OPT_CD, ACCESS_TYPE, BRANCH_CODE, CLASS_CODE, ENT_BY, ENT_DATE, ENT_BY_IP)</v>
      </c>
      <c r="AN133" s="12" t="str">
        <f t="shared" si="45"/>
        <v>VALUES('08801209','RequestDetails.aspx', 'USER', '01', '08', 'ABDUL', SYSDATE, '10.6.100.63');</v>
      </c>
      <c r="AO133" s="12" t="str">
        <f t="shared" si="46"/>
        <v>INSERT INTO sy_perm_list (USER_CD, OPT_CD, ACCESS_TYPE, BRANCH_CODE, CLASS_CODE, ENT_BY, ENT_DATE, ENT_BY_IP)</v>
      </c>
      <c r="AP133" s="12" t="str">
        <f t="shared" si="47"/>
        <v>VALUES('08801209','TodaysRequest.aspx', 'USER', '01', '08', 'ABDUL', SYSDATE, '10.6.100.63');</v>
      </c>
    </row>
    <row r="134" spans="1:42" s="6" customFormat="1" ht="89.25" x14ac:dyDescent="0.2">
      <c r="A134" s="4">
        <v>117</v>
      </c>
      <c r="B134" s="5" t="s">
        <v>768</v>
      </c>
      <c r="C134" s="5">
        <v>9000301</v>
      </c>
      <c r="D134" s="6" t="s">
        <v>468</v>
      </c>
      <c r="E134" s="6" t="s">
        <v>290</v>
      </c>
      <c r="F134" s="5" t="s">
        <v>287</v>
      </c>
      <c r="G134" s="6" t="s">
        <v>288</v>
      </c>
      <c r="H134" s="5" t="s">
        <v>649</v>
      </c>
      <c r="I134" s="5">
        <v>753</v>
      </c>
      <c r="J134" s="5" t="s">
        <v>469</v>
      </c>
      <c r="K134" s="6" t="s">
        <v>86</v>
      </c>
      <c r="L134" s="6" t="s">
        <v>142</v>
      </c>
      <c r="M134" s="6" t="s">
        <v>141</v>
      </c>
      <c r="N134" s="7">
        <v>44229</v>
      </c>
      <c r="O134" s="7">
        <v>44197</v>
      </c>
      <c r="P134" s="7">
        <v>44561</v>
      </c>
      <c r="Q134" s="8">
        <v>64</v>
      </c>
      <c r="R134" s="8">
        <v>150</v>
      </c>
      <c r="S13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4" s="12" t="str">
        <f t="shared" si="25"/>
        <v>VALUES('08801746','PERIDOT PRODUCTS (PRIVATE) LIMITED','Salaam@123','Y','N',sysdate,'016', 'C', 'Client', 'kamran.khan@peridotproducts.com','01','B', '08', 'ABDUL', sysdate, '10.6.100.63', '08801746');</v>
      </c>
      <c r="U134" s="12" t="str">
        <f t="shared" si="26"/>
        <v>INSERT INTO sy_user_branches (USER_CD, BRANCH_CODE, CLASS_CODE, ENT_BY, ENT_DATE, ENT_BY_IP)</v>
      </c>
      <c r="V134" s="12" t="str">
        <f t="shared" si="27"/>
        <v>values('08801746','01', '08', 'ABDUL', sysdate, '10.6.100.63');</v>
      </c>
      <c r="W134" s="12" t="str">
        <f t="shared" si="28"/>
        <v>INSERT INTO sy_perm_list (USER_CD, OPT_CD, ACCESS_TYPE, BRANCH_CODE, CLASS_CODE, ENT_BY, ENT_DATE, ENT_BY_IP)</v>
      </c>
      <c r="X134" s="12" t="str">
        <f t="shared" si="29"/>
        <v>VALUES('08801746','ClaimComments.aspx', 'USER', '01', '08', 'ABDUL', SYSDATE, '10.6.100.63');</v>
      </c>
      <c r="Y134" s="12" t="str">
        <f t="shared" si="30"/>
        <v>INSERT INTO sy_perm_list (USER_CD, OPT_CD, ACCESS_TYPE, BRANCH_CODE, CLASS_CODE, ENT_BY, ENT_DATE, ENT_BY_IP)</v>
      </c>
      <c r="Z134" s="12" t="str">
        <f t="shared" si="31"/>
        <v>VALUES('08801746','ClaimDocs.aspx', 'USER', '01', '08', 'ABDUL', SYSDATE, '10.6.100.63');</v>
      </c>
      <c r="AA134" s="12" t="str">
        <f t="shared" si="32"/>
        <v>INSERT INTO sy_perm_list (USER_CD, OPT_CD, ACCESS_TYPE, BRANCH_CODE, CLASS_CODE, ENT_BY, ENT_DATE, ENT_BY_IP)</v>
      </c>
      <c r="AB134" s="12" t="str">
        <f t="shared" si="33"/>
        <v>VALUES('08801746','Client.aspx', 'USER', '01', '08', 'ABDUL', SYSDATE, '10.6.100.63');</v>
      </c>
      <c r="AC134" s="12" t="str">
        <f t="shared" si="34"/>
        <v>INSERT INTO sy_perm_list (USER_CD, OPT_CD, ACCESS_TYPE, BRANCH_CODE, CLASS_CODE, ENT_BY, ENT_DATE, ENT_BY_IP)</v>
      </c>
      <c r="AD134" s="12" t="str">
        <f t="shared" si="35"/>
        <v>VALUES('08801746','ClientReports.aspx', 'USER', '01', '08', 'ABDUL', SYSDATE, '10.6.100.63');</v>
      </c>
      <c r="AE134" s="12" t="str">
        <f t="shared" si="36"/>
        <v>INSERT INTO sy_perm_list (USER_CD, OPT_CD, ACCESS_TYPE, BRANCH_CODE, CLASS_CODE, ENT_BY, ENT_DATE, ENT_BY_IP)</v>
      </c>
      <c r="AF134" s="12" t="str">
        <f t="shared" si="37"/>
        <v>VALUES('08801746','ClientRequests.aspx', 'USER', '01', '08', 'ABDUL', SYSDATE, '10.6.100.63');</v>
      </c>
      <c r="AG134" s="12" t="str">
        <f t="shared" si="38"/>
        <v>INSERT INTO sy_perm_list (USER_CD, OPT_CD, ACCESS_TYPE, BRANCH_CODE, CLASS_CODE, ENT_BY, ENT_DATE, ENT_BY_IP)</v>
      </c>
      <c r="AH134" s="12" t="str">
        <f t="shared" si="39"/>
        <v>VALUES('08801746','HealthLife.aspx', 'USER', '01', '08', 'ABDUL', SYSDATE, '10.6.100.63');</v>
      </c>
      <c r="AI134" s="12" t="str">
        <f t="shared" si="40"/>
        <v>INSERT INTO sy_perm_list (USER_CD, OPT_CD, ACCESS_TYPE, BRANCH_CODE, CLASS_CODE, ENT_BY, ENT_DATE, ENT_BY_IP)</v>
      </c>
      <c r="AJ134" s="12" t="str">
        <f t="shared" si="41"/>
        <v>VALUES('08801746','IpdClaim.aspx', 'USER', '01', '08', 'ABDUL', SYSDATE, '10.6.100.63');</v>
      </c>
      <c r="AK134" s="12" t="str">
        <f t="shared" si="42"/>
        <v>INSERT INTO sy_perm_list (USER_CD, OPT_CD, ACCESS_TYPE, BRANCH_CODE, CLASS_CODE, ENT_BY, ENT_DATE, ENT_BY_IP)</v>
      </c>
      <c r="AL134" s="12" t="str">
        <f t="shared" si="43"/>
        <v>VALUES('08801746','OpdClaim.aspx', 'USER', '01', '08', 'ABDUL', SYSDATE, '10.6.100.63');</v>
      </c>
      <c r="AM134" s="12" t="str">
        <f t="shared" si="44"/>
        <v>INSERT INTO sy_perm_list (USER_CD, OPT_CD, ACCESS_TYPE, BRANCH_CODE, CLASS_CODE, ENT_BY, ENT_DATE, ENT_BY_IP)</v>
      </c>
      <c r="AN134" s="12" t="str">
        <f t="shared" si="45"/>
        <v>VALUES('08801746','RequestDetails.aspx', 'USER', '01', '08', 'ABDUL', SYSDATE, '10.6.100.63');</v>
      </c>
      <c r="AO134" s="12" t="str">
        <f t="shared" si="46"/>
        <v>INSERT INTO sy_perm_list (USER_CD, OPT_CD, ACCESS_TYPE, BRANCH_CODE, CLASS_CODE, ENT_BY, ENT_DATE, ENT_BY_IP)</v>
      </c>
      <c r="AP134" s="12" t="str">
        <f t="shared" si="47"/>
        <v>VALUES('08801746','TodaysRequest.aspx', 'USER', '01', '08', 'ABDUL', SYSDATE, '10.6.100.63');</v>
      </c>
    </row>
    <row r="135" spans="1:42" s="6" customFormat="1" ht="76.5" x14ac:dyDescent="0.2">
      <c r="A135" s="4">
        <v>118</v>
      </c>
      <c r="B135" s="5" t="s">
        <v>769</v>
      </c>
      <c r="C135" s="5">
        <v>9000248</v>
      </c>
      <c r="D135" s="6" t="s">
        <v>293</v>
      </c>
      <c r="E135" s="6" t="s">
        <v>290</v>
      </c>
      <c r="F135" s="5" t="s">
        <v>287</v>
      </c>
      <c r="G135" s="6" t="s">
        <v>288</v>
      </c>
      <c r="H135" s="5" t="s">
        <v>652</v>
      </c>
      <c r="I135" s="5">
        <v>617</v>
      </c>
      <c r="J135" s="5" t="s">
        <v>353</v>
      </c>
      <c r="K135" s="6" t="s">
        <v>354</v>
      </c>
      <c r="L135" s="6" t="s">
        <v>619</v>
      </c>
      <c r="M135" s="6" t="s">
        <v>620</v>
      </c>
      <c r="N135" s="7">
        <v>44089</v>
      </c>
      <c r="O135" s="7">
        <v>44087</v>
      </c>
      <c r="P135" s="7">
        <v>44451</v>
      </c>
      <c r="Q135" s="8">
        <v>8</v>
      </c>
      <c r="R135" s="8">
        <v>23</v>
      </c>
      <c r="S135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5" s="12" t="str">
        <f t="shared" si="25"/>
        <v>VALUES('08800848','RAPID REMOTE SERVICES (SMC-PRIVATE) LIMITED','Salaam@123','Y','N',sysdate,'016', 'C', 'Client', 'zeeshan@rrs.com.pk','01','B', '08', 'ABDUL', sysdate, '10.6.100.63', '08800848');</v>
      </c>
      <c r="U135" s="12" t="str">
        <f t="shared" si="26"/>
        <v>INSERT INTO sy_user_branches (USER_CD, BRANCH_CODE, CLASS_CODE, ENT_BY, ENT_DATE, ENT_BY_IP)</v>
      </c>
      <c r="V135" s="12" t="str">
        <f t="shared" si="27"/>
        <v>values('08800848','01', '08', 'ABDUL', sysdate, '10.6.100.63');</v>
      </c>
      <c r="W135" s="12" t="str">
        <f t="shared" si="28"/>
        <v>INSERT INTO sy_perm_list (USER_CD, OPT_CD, ACCESS_TYPE, BRANCH_CODE, CLASS_CODE, ENT_BY, ENT_DATE, ENT_BY_IP)</v>
      </c>
      <c r="X135" s="12" t="str">
        <f t="shared" si="29"/>
        <v>VALUES('08800848','ClaimComments.aspx', 'USER', '01', '08', 'ABDUL', SYSDATE, '10.6.100.63');</v>
      </c>
      <c r="Y135" s="12" t="str">
        <f t="shared" si="30"/>
        <v>INSERT INTO sy_perm_list (USER_CD, OPT_CD, ACCESS_TYPE, BRANCH_CODE, CLASS_CODE, ENT_BY, ENT_DATE, ENT_BY_IP)</v>
      </c>
      <c r="Z135" s="12" t="str">
        <f t="shared" si="31"/>
        <v>VALUES('08800848','ClaimDocs.aspx', 'USER', '01', '08', 'ABDUL', SYSDATE, '10.6.100.63');</v>
      </c>
      <c r="AA135" s="12" t="str">
        <f t="shared" si="32"/>
        <v>INSERT INTO sy_perm_list (USER_CD, OPT_CD, ACCESS_TYPE, BRANCH_CODE, CLASS_CODE, ENT_BY, ENT_DATE, ENT_BY_IP)</v>
      </c>
      <c r="AB135" s="12" t="str">
        <f t="shared" si="33"/>
        <v>VALUES('08800848','Client.aspx', 'USER', '01', '08', 'ABDUL', SYSDATE, '10.6.100.63');</v>
      </c>
      <c r="AC135" s="12" t="str">
        <f t="shared" si="34"/>
        <v>INSERT INTO sy_perm_list (USER_CD, OPT_CD, ACCESS_TYPE, BRANCH_CODE, CLASS_CODE, ENT_BY, ENT_DATE, ENT_BY_IP)</v>
      </c>
      <c r="AD135" s="12" t="str">
        <f t="shared" si="35"/>
        <v>VALUES('08800848','ClientReports.aspx', 'USER', '01', '08', 'ABDUL', SYSDATE, '10.6.100.63');</v>
      </c>
      <c r="AE135" s="12" t="str">
        <f t="shared" si="36"/>
        <v>INSERT INTO sy_perm_list (USER_CD, OPT_CD, ACCESS_TYPE, BRANCH_CODE, CLASS_CODE, ENT_BY, ENT_DATE, ENT_BY_IP)</v>
      </c>
      <c r="AF135" s="12" t="str">
        <f t="shared" si="37"/>
        <v>VALUES('08800848','ClientRequests.aspx', 'USER', '01', '08', 'ABDUL', SYSDATE, '10.6.100.63');</v>
      </c>
      <c r="AG135" s="12" t="str">
        <f t="shared" si="38"/>
        <v>INSERT INTO sy_perm_list (USER_CD, OPT_CD, ACCESS_TYPE, BRANCH_CODE, CLASS_CODE, ENT_BY, ENT_DATE, ENT_BY_IP)</v>
      </c>
      <c r="AH135" s="12" t="str">
        <f t="shared" si="39"/>
        <v>VALUES('08800848','HealthLife.aspx', 'USER', '01', '08', 'ABDUL', SYSDATE, '10.6.100.63');</v>
      </c>
      <c r="AI135" s="12" t="str">
        <f t="shared" si="40"/>
        <v>INSERT INTO sy_perm_list (USER_CD, OPT_CD, ACCESS_TYPE, BRANCH_CODE, CLASS_CODE, ENT_BY, ENT_DATE, ENT_BY_IP)</v>
      </c>
      <c r="AJ135" s="12" t="str">
        <f t="shared" si="41"/>
        <v>VALUES('08800848','IpdClaim.aspx', 'USER', '01', '08', 'ABDUL', SYSDATE, '10.6.100.63');</v>
      </c>
      <c r="AK135" s="12" t="str">
        <f t="shared" si="42"/>
        <v>INSERT INTO sy_perm_list (USER_CD, OPT_CD, ACCESS_TYPE, BRANCH_CODE, CLASS_CODE, ENT_BY, ENT_DATE, ENT_BY_IP)</v>
      </c>
      <c r="AL135" s="12" t="str">
        <f t="shared" si="43"/>
        <v>VALUES('08800848','OpdClaim.aspx', 'USER', '01', '08', 'ABDUL', SYSDATE, '10.6.100.63');</v>
      </c>
      <c r="AM135" s="12" t="str">
        <f t="shared" si="44"/>
        <v>INSERT INTO sy_perm_list (USER_CD, OPT_CD, ACCESS_TYPE, BRANCH_CODE, CLASS_CODE, ENT_BY, ENT_DATE, ENT_BY_IP)</v>
      </c>
      <c r="AN135" s="12" t="str">
        <f t="shared" si="45"/>
        <v>VALUES('08800848','RequestDetails.aspx', 'USER', '01', '08', 'ABDUL', SYSDATE, '10.6.100.63');</v>
      </c>
      <c r="AO135" s="12" t="str">
        <f t="shared" si="46"/>
        <v>INSERT INTO sy_perm_list (USER_CD, OPT_CD, ACCESS_TYPE, BRANCH_CODE, CLASS_CODE, ENT_BY, ENT_DATE, ENT_BY_IP)</v>
      </c>
      <c r="AP135" s="12" t="str">
        <f t="shared" si="47"/>
        <v>VALUES('08800848','TodaysRequest.aspx', 'USER', '01', '08', 'ABDUL', SYSDATE, '10.6.100.63');</v>
      </c>
    </row>
    <row r="136" spans="1:42" s="6" customFormat="1" ht="76.5" x14ac:dyDescent="0.2">
      <c r="A136" s="4">
        <v>119</v>
      </c>
      <c r="B136" s="5" t="s">
        <v>770</v>
      </c>
      <c r="C136" s="5">
        <v>9000266</v>
      </c>
      <c r="D136" s="6" t="s">
        <v>340</v>
      </c>
      <c r="E136" s="6" t="s">
        <v>314</v>
      </c>
      <c r="F136" s="5" t="s">
        <v>287</v>
      </c>
      <c r="G136" s="6" t="s">
        <v>288</v>
      </c>
      <c r="H136" s="5" t="s">
        <v>649</v>
      </c>
      <c r="I136" s="5">
        <v>813</v>
      </c>
      <c r="J136" s="5" t="s">
        <v>542</v>
      </c>
      <c r="K136" s="6" t="s">
        <v>251</v>
      </c>
      <c r="L136" s="6" t="s">
        <v>193</v>
      </c>
      <c r="M136" s="6" t="s">
        <v>250</v>
      </c>
      <c r="N136" s="7">
        <v>44271</v>
      </c>
      <c r="O136" s="7">
        <v>44256</v>
      </c>
      <c r="P136" s="7">
        <v>44620</v>
      </c>
      <c r="Q136" s="8">
        <v>35</v>
      </c>
      <c r="R136" s="8">
        <v>102</v>
      </c>
      <c r="S136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6" s="12" t="str">
        <f t="shared" si="25"/>
        <v>VALUES('08800595','REANDA HAROON ZAKARIA &amp; COMPANY','Salaam@123','Y','N',sysdate,'016', 'C', 'Client', 'muhammad.farhan@oceanic-group.com ','01','B', '08', 'ABDUL', sysdate, '10.6.100.63', '08800595');</v>
      </c>
      <c r="U136" s="12" t="str">
        <f t="shared" si="26"/>
        <v>INSERT INTO sy_user_branches (USER_CD, BRANCH_CODE, CLASS_CODE, ENT_BY, ENT_DATE, ENT_BY_IP)</v>
      </c>
      <c r="V136" s="12" t="str">
        <f t="shared" si="27"/>
        <v>values('08800595','01', '08', 'ABDUL', sysdate, '10.6.100.63');</v>
      </c>
      <c r="W136" s="12" t="str">
        <f t="shared" si="28"/>
        <v>INSERT INTO sy_perm_list (USER_CD, OPT_CD, ACCESS_TYPE, BRANCH_CODE, CLASS_CODE, ENT_BY, ENT_DATE, ENT_BY_IP)</v>
      </c>
      <c r="X136" s="12" t="str">
        <f t="shared" si="29"/>
        <v>VALUES('08800595','ClaimComments.aspx', 'USER', '01', '08', 'ABDUL', SYSDATE, '10.6.100.63');</v>
      </c>
      <c r="Y136" s="12" t="str">
        <f t="shared" si="30"/>
        <v>INSERT INTO sy_perm_list (USER_CD, OPT_CD, ACCESS_TYPE, BRANCH_CODE, CLASS_CODE, ENT_BY, ENT_DATE, ENT_BY_IP)</v>
      </c>
      <c r="Z136" s="12" t="str">
        <f t="shared" si="31"/>
        <v>VALUES('08800595','ClaimDocs.aspx', 'USER', '01', '08', 'ABDUL', SYSDATE, '10.6.100.63');</v>
      </c>
      <c r="AA136" s="12" t="str">
        <f t="shared" si="32"/>
        <v>INSERT INTO sy_perm_list (USER_CD, OPT_CD, ACCESS_TYPE, BRANCH_CODE, CLASS_CODE, ENT_BY, ENT_DATE, ENT_BY_IP)</v>
      </c>
      <c r="AB136" s="12" t="str">
        <f t="shared" si="33"/>
        <v>VALUES('08800595','Client.aspx', 'USER', '01', '08', 'ABDUL', SYSDATE, '10.6.100.63');</v>
      </c>
      <c r="AC136" s="12" t="str">
        <f t="shared" si="34"/>
        <v>INSERT INTO sy_perm_list (USER_CD, OPT_CD, ACCESS_TYPE, BRANCH_CODE, CLASS_CODE, ENT_BY, ENT_DATE, ENT_BY_IP)</v>
      </c>
      <c r="AD136" s="12" t="str">
        <f t="shared" si="35"/>
        <v>VALUES('08800595','ClientReports.aspx', 'USER', '01', '08', 'ABDUL', SYSDATE, '10.6.100.63');</v>
      </c>
      <c r="AE136" s="12" t="str">
        <f t="shared" si="36"/>
        <v>INSERT INTO sy_perm_list (USER_CD, OPT_CD, ACCESS_TYPE, BRANCH_CODE, CLASS_CODE, ENT_BY, ENT_DATE, ENT_BY_IP)</v>
      </c>
      <c r="AF136" s="12" t="str">
        <f t="shared" si="37"/>
        <v>VALUES('08800595','ClientRequests.aspx', 'USER', '01', '08', 'ABDUL', SYSDATE, '10.6.100.63');</v>
      </c>
      <c r="AG136" s="12" t="str">
        <f t="shared" si="38"/>
        <v>INSERT INTO sy_perm_list (USER_CD, OPT_CD, ACCESS_TYPE, BRANCH_CODE, CLASS_CODE, ENT_BY, ENT_DATE, ENT_BY_IP)</v>
      </c>
      <c r="AH136" s="12" t="str">
        <f t="shared" si="39"/>
        <v>VALUES('08800595','HealthLife.aspx', 'USER', '01', '08', 'ABDUL', SYSDATE, '10.6.100.63');</v>
      </c>
      <c r="AI136" s="12" t="str">
        <f t="shared" si="40"/>
        <v>INSERT INTO sy_perm_list (USER_CD, OPT_CD, ACCESS_TYPE, BRANCH_CODE, CLASS_CODE, ENT_BY, ENT_DATE, ENT_BY_IP)</v>
      </c>
      <c r="AJ136" s="12" t="str">
        <f t="shared" si="41"/>
        <v>VALUES('08800595','IpdClaim.aspx', 'USER', '01', '08', 'ABDUL', SYSDATE, '10.6.100.63');</v>
      </c>
      <c r="AK136" s="12" t="str">
        <f t="shared" si="42"/>
        <v>INSERT INTO sy_perm_list (USER_CD, OPT_CD, ACCESS_TYPE, BRANCH_CODE, CLASS_CODE, ENT_BY, ENT_DATE, ENT_BY_IP)</v>
      </c>
      <c r="AL136" s="12" t="str">
        <f t="shared" si="43"/>
        <v>VALUES('08800595','OpdClaim.aspx', 'USER', '01', '08', 'ABDUL', SYSDATE, '10.6.100.63');</v>
      </c>
      <c r="AM136" s="12" t="str">
        <f t="shared" si="44"/>
        <v>INSERT INTO sy_perm_list (USER_CD, OPT_CD, ACCESS_TYPE, BRANCH_CODE, CLASS_CODE, ENT_BY, ENT_DATE, ENT_BY_IP)</v>
      </c>
      <c r="AN136" s="12" t="str">
        <f t="shared" si="45"/>
        <v>VALUES('08800595','RequestDetails.aspx', 'USER', '01', '08', 'ABDUL', SYSDATE, '10.6.100.63');</v>
      </c>
      <c r="AO136" s="12" t="str">
        <f t="shared" si="46"/>
        <v>INSERT INTO sy_perm_list (USER_CD, OPT_CD, ACCESS_TYPE, BRANCH_CODE, CLASS_CODE, ENT_BY, ENT_DATE, ENT_BY_IP)</v>
      </c>
      <c r="AP136" s="12" t="str">
        <f t="shared" si="47"/>
        <v>VALUES('08800595','TodaysRequest.aspx', 'USER', '01', '08', 'ABDUL', SYSDATE, '10.6.100.63');</v>
      </c>
    </row>
    <row r="137" spans="1:42" s="6" customFormat="1" ht="76.5" x14ac:dyDescent="0.2">
      <c r="A137" s="4">
        <v>120</v>
      </c>
      <c r="B137" s="5" t="s">
        <v>771</v>
      </c>
      <c r="C137" s="5">
        <v>9000236</v>
      </c>
      <c r="D137" s="6" t="s">
        <v>329</v>
      </c>
      <c r="E137" s="6" t="s">
        <v>290</v>
      </c>
      <c r="F137" s="5" t="s">
        <v>287</v>
      </c>
      <c r="G137" s="6" t="s">
        <v>288</v>
      </c>
      <c r="H137" s="5" t="s">
        <v>651</v>
      </c>
      <c r="I137" s="5">
        <v>722</v>
      </c>
      <c r="J137" s="5" t="s">
        <v>433</v>
      </c>
      <c r="K137" s="6" t="s">
        <v>434</v>
      </c>
      <c r="L137" s="6" t="s">
        <v>621</v>
      </c>
      <c r="M137" s="6" t="s">
        <v>622</v>
      </c>
      <c r="N137" s="7">
        <v>44196</v>
      </c>
      <c r="O137" s="7">
        <v>44196</v>
      </c>
      <c r="P137" s="7">
        <v>44561</v>
      </c>
      <c r="Q137" s="8">
        <v>689</v>
      </c>
      <c r="R137" s="8">
        <v>2694</v>
      </c>
      <c r="S137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7" s="12" t="str">
        <f t="shared" si="25"/>
        <v>VALUES('08002719','REHMAN MEDICAL INSTITUTE','Salaam@123','Y','N',sysdate,'016', 'C', 'Client', 'iftikhar.ahmad@rmi.edu.pk','01','B', '08', 'ABDUL', sysdate, '10.6.100.63', '08002719');</v>
      </c>
      <c r="U137" s="12" t="str">
        <f t="shared" si="26"/>
        <v>INSERT INTO sy_user_branches (USER_CD, BRANCH_CODE, CLASS_CODE, ENT_BY, ENT_DATE, ENT_BY_IP)</v>
      </c>
      <c r="V137" s="12" t="str">
        <f t="shared" si="27"/>
        <v>values('08002719','01', '08', 'ABDUL', sysdate, '10.6.100.63');</v>
      </c>
      <c r="W137" s="12" t="str">
        <f t="shared" si="28"/>
        <v>INSERT INTO sy_perm_list (USER_CD, OPT_CD, ACCESS_TYPE, BRANCH_CODE, CLASS_CODE, ENT_BY, ENT_DATE, ENT_BY_IP)</v>
      </c>
      <c r="X137" s="12" t="str">
        <f t="shared" si="29"/>
        <v>VALUES('08002719','ClaimComments.aspx', 'USER', '01', '08', 'ABDUL', SYSDATE, '10.6.100.63');</v>
      </c>
      <c r="Y137" s="12" t="str">
        <f t="shared" si="30"/>
        <v>INSERT INTO sy_perm_list (USER_CD, OPT_CD, ACCESS_TYPE, BRANCH_CODE, CLASS_CODE, ENT_BY, ENT_DATE, ENT_BY_IP)</v>
      </c>
      <c r="Z137" s="12" t="str">
        <f t="shared" si="31"/>
        <v>VALUES('08002719','ClaimDocs.aspx', 'USER', '01', '08', 'ABDUL', SYSDATE, '10.6.100.63');</v>
      </c>
      <c r="AA137" s="12" t="str">
        <f t="shared" si="32"/>
        <v>INSERT INTO sy_perm_list (USER_CD, OPT_CD, ACCESS_TYPE, BRANCH_CODE, CLASS_CODE, ENT_BY, ENT_DATE, ENT_BY_IP)</v>
      </c>
      <c r="AB137" s="12" t="str">
        <f t="shared" si="33"/>
        <v>VALUES('08002719','Client.aspx', 'USER', '01', '08', 'ABDUL', SYSDATE, '10.6.100.63');</v>
      </c>
      <c r="AC137" s="12" t="str">
        <f t="shared" si="34"/>
        <v>INSERT INTO sy_perm_list (USER_CD, OPT_CD, ACCESS_TYPE, BRANCH_CODE, CLASS_CODE, ENT_BY, ENT_DATE, ENT_BY_IP)</v>
      </c>
      <c r="AD137" s="12" t="str">
        <f t="shared" si="35"/>
        <v>VALUES('08002719','ClientReports.aspx', 'USER', '01', '08', 'ABDUL', SYSDATE, '10.6.100.63');</v>
      </c>
      <c r="AE137" s="12" t="str">
        <f t="shared" si="36"/>
        <v>INSERT INTO sy_perm_list (USER_CD, OPT_CD, ACCESS_TYPE, BRANCH_CODE, CLASS_CODE, ENT_BY, ENT_DATE, ENT_BY_IP)</v>
      </c>
      <c r="AF137" s="12" t="str">
        <f t="shared" si="37"/>
        <v>VALUES('08002719','ClientRequests.aspx', 'USER', '01', '08', 'ABDUL', SYSDATE, '10.6.100.63');</v>
      </c>
      <c r="AG137" s="12" t="str">
        <f t="shared" si="38"/>
        <v>INSERT INTO sy_perm_list (USER_CD, OPT_CD, ACCESS_TYPE, BRANCH_CODE, CLASS_CODE, ENT_BY, ENT_DATE, ENT_BY_IP)</v>
      </c>
      <c r="AH137" s="12" t="str">
        <f t="shared" si="39"/>
        <v>VALUES('08002719','HealthLife.aspx', 'USER', '01', '08', 'ABDUL', SYSDATE, '10.6.100.63');</v>
      </c>
      <c r="AI137" s="12" t="str">
        <f t="shared" si="40"/>
        <v>INSERT INTO sy_perm_list (USER_CD, OPT_CD, ACCESS_TYPE, BRANCH_CODE, CLASS_CODE, ENT_BY, ENT_DATE, ENT_BY_IP)</v>
      </c>
      <c r="AJ137" s="12" t="str">
        <f t="shared" si="41"/>
        <v>VALUES('08002719','IpdClaim.aspx', 'USER', '01', '08', 'ABDUL', SYSDATE, '10.6.100.63');</v>
      </c>
      <c r="AK137" s="12" t="str">
        <f t="shared" si="42"/>
        <v>INSERT INTO sy_perm_list (USER_CD, OPT_CD, ACCESS_TYPE, BRANCH_CODE, CLASS_CODE, ENT_BY, ENT_DATE, ENT_BY_IP)</v>
      </c>
      <c r="AL137" s="12" t="str">
        <f t="shared" si="43"/>
        <v>VALUES('08002719','OpdClaim.aspx', 'USER', '01', '08', 'ABDUL', SYSDATE, '10.6.100.63');</v>
      </c>
      <c r="AM137" s="12" t="str">
        <f t="shared" si="44"/>
        <v>INSERT INTO sy_perm_list (USER_CD, OPT_CD, ACCESS_TYPE, BRANCH_CODE, CLASS_CODE, ENT_BY, ENT_DATE, ENT_BY_IP)</v>
      </c>
      <c r="AN137" s="12" t="str">
        <f t="shared" si="45"/>
        <v>VALUES('08002719','RequestDetails.aspx', 'USER', '01', '08', 'ABDUL', SYSDATE, '10.6.100.63');</v>
      </c>
      <c r="AO137" s="12" t="str">
        <f t="shared" si="46"/>
        <v>INSERT INTO sy_perm_list (USER_CD, OPT_CD, ACCESS_TYPE, BRANCH_CODE, CLASS_CODE, ENT_BY, ENT_DATE, ENT_BY_IP)</v>
      </c>
      <c r="AP137" s="12" t="str">
        <f t="shared" si="47"/>
        <v>VALUES('08002719','TodaysRequest.aspx', 'USER', '01', '08', 'ABDUL', SYSDATE, '10.6.100.63');</v>
      </c>
    </row>
    <row r="138" spans="1:42" s="6" customFormat="1" ht="76.5" x14ac:dyDescent="0.2">
      <c r="A138" s="4">
        <v>121</v>
      </c>
      <c r="B138" s="5" t="s">
        <v>772</v>
      </c>
      <c r="C138" s="5">
        <v>9000241</v>
      </c>
      <c r="D138" s="6" t="s">
        <v>296</v>
      </c>
      <c r="E138" s="6" t="s">
        <v>290</v>
      </c>
      <c r="F138" s="5" t="s">
        <v>287</v>
      </c>
      <c r="G138" s="6" t="s">
        <v>288</v>
      </c>
      <c r="H138" s="5" t="s">
        <v>649</v>
      </c>
      <c r="I138" s="5">
        <v>732</v>
      </c>
      <c r="J138" s="5" t="s">
        <v>446</v>
      </c>
      <c r="K138" s="6" t="s">
        <v>447</v>
      </c>
      <c r="L138" s="6" t="s">
        <v>179</v>
      </c>
      <c r="M138" s="6" t="s">
        <v>180</v>
      </c>
      <c r="N138" s="7">
        <v>44205</v>
      </c>
      <c r="O138" s="7">
        <v>44197</v>
      </c>
      <c r="P138" s="7">
        <v>44561</v>
      </c>
      <c r="Q138" s="8">
        <v>43</v>
      </c>
      <c r="R138" s="8">
        <v>126</v>
      </c>
      <c r="S13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8" s="12" t="str">
        <f t="shared" si="25"/>
        <v>VALUES('08801117','RIAA BARKER GILLETTE','Salaam@123','Y','N',sysdate,'016', 'C', 'Client', 'samina.ahmed@riaabg.com ','01','B', '08', 'ABDUL', sysdate, '10.6.100.63', '08801117');</v>
      </c>
      <c r="U138" s="12" t="str">
        <f t="shared" si="26"/>
        <v>INSERT INTO sy_user_branches (USER_CD, BRANCH_CODE, CLASS_CODE, ENT_BY, ENT_DATE, ENT_BY_IP)</v>
      </c>
      <c r="V138" s="12" t="str">
        <f t="shared" si="27"/>
        <v>values('08801117','01', '08', 'ABDUL', sysdate, '10.6.100.63');</v>
      </c>
      <c r="W138" s="12" t="str">
        <f t="shared" si="28"/>
        <v>INSERT INTO sy_perm_list (USER_CD, OPT_CD, ACCESS_TYPE, BRANCH_CODE, CLASS_CODE, ENT_BY, ENT_DATE, ENT_BY_IP)</v>
      </c>
      <c r="X138" s="12" t="str">
        <f t="shared" si="29"/>
        <v>VALUES('08801117','ClaimComments.aspx', 'USER', '01', '08', 'ABDUL', SYSDATE, '10.6.100.63');</v>
      </c>
      <c r="Y138" s="12" t="str">
        <f t="shared" si="30"/>
        <v>INSERT INTO sy_perm_list (USER_CD, OPT_CD, ACCESS_TYPE, BRANCH_CODE, CLASS_CODE, ENT_BY, ENT_DATE, ENT_BY_IP)</v>
      </c>
      <c r="Z138" s="12" t="str">
        <f t="shared" si="31"/>
        <v>VALUES('08801117','ClaimDocs.aspx', 'USER', '01', '08', 'ABDUL', SYSDATE, '10.6.100.63');</v>
      </c>
      <c r="AA138" s="12" t="str">
        <f t="shared" si="32"/>
        <v>INSERT INTO sy_perm_list (USER_CD, OPT_CD, ACCESS_TYPE, BRANCH_CODE, CLASS_CODE, ENT_BY, ENT_DATE, ENT_BY_IP)</v>
      </c>
      <c r="AB138" s="12" t="str">
        <f t="shared" si="33"/>
        <v>VALUES('08801117','Client.aspx', 'USER', '01', '08', 'ABDUL', SYSDATE, '10.6.100.63');</v>
      </c>
      <c r="AC138" s="12" t="str">
        <f t="shared" si="34"/>
        <v>INSERT INTO sy_perm_list (USER_CD, OPT_CD, ACCESS_TYPE, BRANCH_CODE, CLASS_CODE, ENT_BY, ENT_DATE, ENT_BY_IP)</v>
      </c>
      <c r="AD138" s="12" t="str">
        <f t="shared" si="35"/>
        <v>VALUES('08801117','ClientReports.aspx', 'USER', '01', '08', 'ABDUL', SYSDATE, '10.6.100.63');</v>
      </c>
      <c r="AE138" s="12" t="str">
        <f t="shared" si="36"/>
        <v>INSERT INTO sy_perm_list (USER_CD, OPT_CD, ACCESS_TYPE, BRANCH_CODE, CLASS_CODE, ENT_BY, ENT_DATE, ENT_BY_IP)</v>
      </c>
      <c r="AF138" s="12" t="str">
        <f t="shared" si="37"/>
        <v>VALUES('08801117','ClientRequests.aspx', 'USER', '01', '08', 'ABDUL', SYSDATE, '10.6.100.63');</v>
      </c>
      <c r="AG138" s="12" t="str">
        <f t="shared" si="38"/>
        <v>INSERT INTO sy_perm_list (USER_CD, OPT_CD, ACCESS_TYPE, BRANCH_CODE, CLASS_CODE, ENT_BY, ENT_DATE, ENT_BY_IP)</v>
      </c>
      <c r="AH138" s="12" t="str">
        <f t="shared" si="39"/>
        <v>VALUES('08801117','HealthLife.aspx', 'USER', '01', '08', 'ABDUL', SYSDATE, '10.6.100.63');</v>
      </c>
      <c r="AI138" s="12" t="str">
        <f t="shared" si="40"/>
        <v>INSERT INTO sy_perm_list (USER_CD, OPT_CD, ACCESS_TYPE, BRANCH_CODE, CLASS_CODE, ENT_BY, ENT_DATE, ENT_BY_IP)</v>
      </c>
      <c r="AJ138" s="12" t="str">
        <f t="shared" si="41"/>
        <v>VALUES('08801117','IpdClaim.aspx', 'USER', '01', '08', 'ABDUL', SYSDATE, '10.6.100.63');</v>
      </c>
      <c r="AK138" s="12" t="str">
        <f t="shared" si="42"/>
        <v>INSERT INTO sy_perm_list (USER_CD, OPT_CD, ACCESS_TYPE, BRANCH_CODE, CLASS_CODE, ENT_BY, ENT_DATE, ENT_BY_IP)</v>
      </c>
      <c r="AL138" s="12" t="str">
        <f t="shared" si="43"/>
        <v>VALUES('08801117','OpdClaim.aspx', 'USER', '01', '08', 'ABDUL', SYSDATE, '10.6.100.63');</v>
      </c>
      <c r="AM138" s="12" t="str">
        <f t="shared" si="44"/>
        <v>INSERT INTO sy_perm_list (USER_CD, OPT_CD, ACCESS_TYPE, BRANCH_CODE, CLASS_CODE, ENT_BY, ENT_DATE, ENT_BY_IP)</v>
      </c>
      <c r="AN138" s="12" t="str">
        <f t="shared" si="45"/>
        <v>VALUES('08801117','RequestDetails.aspx', 'USER', '01', '08', 'ABDUL', SYSDATE, '10.6.100.63');</v>
      </c>
      <c r="AO138" s="12" t="str">
        <f t="shared" si="46"/>
        <v>INSERT INTO sy_perm_list (USER_CD, OPT_CD, ACCESS_TYPE, BRANCH_CODE, CLASS_CODE, ENT_BY, ENT_DATE, ENT_BY_IP)</v>
      </c>
      <c r="AP138" s="12" t="str">
        <f t="shared" si="47"/>
        <v>VALUES('08801117','TodaysRequest.aspx', 'USER', '01', '08', 'ABDUL', SYSDATE, '10.6.100.63');</v>
      </c>
    </row>
    <row r="139" spans="1:42" s="6" customFormat="1" ht="76.5" x14ac:dyDescent="0.2">
      <c r="A139" s="4">
        <v>122</v>
      </c>
      <c r="B139" s="5" t="s">
        <v>773</v>
      </c>
      <c r="C139" s="5">
        <v>9000231</v>
      </c>
      <c r="D139" s="6" t="s">
        <v>304</v>
      </c>
      <c r="E139" s="6" t="s">
        <v>299</v>
      </c>
      <c r="F139" s="5" t="s">
        <v>287</v>
      </c>
      <c r="G139" s="6" t="s">
        <v>288</v>
      </c>
      <c r="H139" s="5" t="s">
        <v>649</v>
      </c>
      <c r="I139" s="5">
        <v>538</v>
      </c>
      <c r="J139" s="5" t="s">
        <v>305</v>
      </c>
      <c r="K139" s="6" t="s">
        <v>39</v>
      </c>
      <c r="L139" s="6" t="s">
        <v>118</v>
      </c>
      <c r="M139" s="6" t="s">
        <v>119</v>
      </c>
      <c r="N139" s="7">
        <v>43985</v>
      </c>
      <c r="O139" s="7">
        <v>43952</v>
      </c>
      <c r="P139" s="7">
        <v>44316</v>
      </c>
      <c r="Q139" s="8">
        <v>174</v>
      </c>
      <c r="R139" s="8">
        <v>436</v>
      </c>
      <c r="S139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39" s="12" t="str">
        <f t="shared" si="25"/>
        <v>VALUES('08800609','ROCK MARS INDUSTRIES PVT LIMITED','Salaam@123','Y','N',sysdate,'016', 'C', 'Client', 'momal.fakhar@mrmtraders.com','01','B', '08', 'ABDUL', sysdate, '10.6.100.63', '08800609');</v>
      </c>
      <c r="U139" s="12" t="str">
        <f t="shared" si="26"/>
        <v>INSERT INTO sy_user_branches (USER_CD, BRANCH_CODE, CLASS_CODE, ENT_BY, ENT_DATE, ENT_BY_IP)</v>
      </c>
      <c r="V139" s="12" t="str">
        <f t="shared" si="27"/>
        <v>values('08800609','01', '08', 'ABDUL', sysdate, '10.6.100.63');</v>
      </c>
      <c r="W139" s="12" t="str">
        <f t="shared" si="28"/>
        <v>INSERT INTO sy_perm_list (USER_CD, OPT_CD, ACCESS_TYPE, BRANCH_CODE, CLASS_CODE, ENT_BY, ENT_DATE, ENT_BY_IP)</v>
      </c>
      <c r="X139" s="12" t="str">
        <f t="shared" si="29"/>
        <v>VALUES('08800609','ClaimComments.aspx', 'USER', '01', '08', 'ABDUL', SYSDATE, '10.6.100.63');</v>
      </c>
      <c r="Y139" s="12" t="str">
        <f t="shared" si="30"/>
        <v>INSERT INTO sy_perm_list (USER_CD, OPT_CD, ACCESS_TYPE, BRANCH_CODE, CLASS_CODE, ENT_BY, ENT_DATE, ENT_BY_IP)</v>
      </c>
      <c r="Z139" s="12" t="str">
        <f t="shared" si="31"/>
        <v>VALUES('08800609','ClaimDocs.aspx', 'USER', '01', '08', 'ABDUL', SYSDATE, '10.6.100.63');</v>
      </c>
      <c r="AA139" s="12" t="str">
        <f t="shared" si="32"/>
        <v>INSERT INTO sy_perm_list (USER_CD, OPT_CD, ACCESS_TYPE, BRANCH_CODE, CLASS_CODE, ENT_BY, ENT_DATE, ENT_BY_IP)</v>
      </c>
      <c r="AB139" s="12" t="str">
        <f t="shared" si="33"/>
        <v>VALUES('08800609','Client.aspx', 'USER', '01', '08', 'ABDUL', SYSDATE, '10.6.100.63');</v>
      </c>
      <c r="AC139" s="12" t="str">
        <f t="shared" si="34"/>
        <v>INSERT INTO sy_perm_list (USER_CD, OPT_CD, ACCESS_TYPE, BRANCH_CODE, CLASS_CODE, ENT_BY, ENT_DATE, ENT_BY_IP)</v>
      </c>
      <c r="AD139" s="12" t="str">
        <f t="shared" si="35"/>
        <v>VALUES('08800609','ClientReports.aspx', 'USER', '01', '08', 'ABDUL', SYSDATE, '10.6.100.63');</v>
      </c>
      <c r="AE139" s="12" t="str">
        <f t="shared" si="36"/>
        <v>INSERT INTO sy_perm_list (USER_CD, OPT_CD, ACCESS_TYPE, BRANCH_CODE, CLASS_CODE, ENT_BY, ENT_DATE, ENT_BY_IP)</v>
      </c>
      <c r="AF139" s="12" t="str">
        <f t="shared" si="37"/>
        <v>VALUES('08800609','ClientRequests.aspx', 'USER', '01', '08', 'ABDUL', SYSDATE, '10.6.100.63');</v>
      </c>
      <c r="AG139" s="12" t="str">
        <f t="shared" si="38"/>
        <v>INSERT INTO sy_perm_list (USER_CD, OPT_CD, ACCESS_TYPE, BRANCH_CODE, CLASS_CODE, ENT_BY, ENT_DATE, ENT_BY_IP)</v>
      </c>
      <c r="AH139" s="12" t="str">
        <f t="shared" si="39"/>
        <v>VALUES('08800609','HealthLife.aspx', 'USER', '01', '08', 'ABDUL', SYSDATE, '10.6.100.63');</v>
      </c>
      <c r="AI139" s="12" t="str">
        <f t="shared" si="40"/>
        <v>INSERT INTO sy_perm_list (USER_CD, OPT_CD, ACCESS_TYPE, BRANCH_CODE, CLASS_CODE, ENT_BY, ENT_DATE, ENT_BY_IP)</v>
      </c>
      <c r="AJ139" s="12" t="str">
        <f t="shared" si="41"/>
        <v>VALUES('08800609','IpdClaim.aspx', 'USER', '01', '08', 'ABDUL', SYSDATE, '10.6.100.63');</v>
      </c>
      <c r="AK139" s="12" t="str">
        <f t="shared" si="42"/>
        <v>INSERT INTO sy_perm_list (USER_CD, OPT_CD, ACCESS_TYPE, BRANCH_CODE, CLASS_CODE, ENT_BY, ENT_DATE, ENT_BY_IP)</v>
      </c>
      <c r="AL139" s="12" t="str">
        <f t="shared" si="43"/>
        <v>VALUES('08800609','OpdClaim.aspx', 'USER', '01', '08', 'ABDUL', SYSDATE, '10.6.100.63');</v>
      </c>
      <c r="AM139" s="12" t="str">
        <f t="shared" si="44"/>
        <v>INSERT INTO sy_perm_list (USER_CD, OPT_CD, ACCESS_TYPE, BRANCH_CODE, CLASS_CODE, ENT_BY, ENT_DATE, ENT_BY_IP)</v>
      </c>
      <c r="AN139" s="12" t="str">
        <f t="shared" si="45"/>
        <v>VALUES('08800609','RequestDetails.aspx', 'USER', '01', '08', 'ABDUL', SYSDATE, '10.6.100.63');</v>
      </c>
      <c r="AO139" s="12" t="str">
        <f t="shared" si="46"/>
        <v>INSERT INTO sy_perm_list (USER_CD, OPT_CD, ACCESS_TYPE, BRANCH_CODE, CLASS_CODE, ENT_BY, ENT_DATE, ENT_BY_IP)</v>
      </c>
      <c r="AP139" s="12" t="str">
        <f t="shared" si="47"/>
        <v>VALUES('08800609','TodaysRequest.aspx', 'USER', '01', '08', 'ABDUL', SYSDATE, '10.6.100.63');</v>
      </c>
    </row>
    <row r="140" spans="1:42" s="6" customFormat="1" ht="77.25" thickBot="1" x14ac:dyDescent="0.25">
      <c r="A140" s="4">
        <v>123</v>
      </c>
      <c r="B140" s="43" t="s">
        <v>874</v>
      </c>
      <c r="C140" s="5"/>
      <c r="F140" s="5" t="s">
        <v>287</v>
      </c>
      <c r="G140" s="6" t="s">
        <v>288</v>
      </c>
      <c r="H140" s="5" t="s">
        <v>649</v>
      </c>
      <c r="I140" s="5"/>
      <c r="J140" s="39" t="s">
        <v>875</v>
      </c>
      <c r="K140" s="39" t="s">
        <v>876</v>
      </c>
      <c r="L140" s="39" t="s">
        <v>877</v>
      </c>
      <c r="M140" s="42" t="s">
        <v>119</v>
      </c>
      <c r="N140" s="7"/>
      <c r="O140" s="7"/>
      <c r="P140" s="7"/>
      <c r="Q140" s="8"/>
      <c r="R140" s="8"/>
      <c r="S14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0" s="12" t="str">
        <f>"VALUES('"&amp;B140&amp;"','"&amp;K140&amp;"','Salaam@123','Y','N',sysdate,'016', 'C', 'Client', '"&amp;M140&amp;"','01','B', '08', 'ABDUL', sysdate, '10.6.100.63', '"&amp;B139&amp;"');"</f>
        <v>VALUES('088006091','Rock Mars Industries Pvt. Limited','Salaam@123','Y','N',sysdate,'016', 'C', 'Client', 'momal.fakhar@mrmtraders.com','01','B', '08', 'ABDUL', sysdate, '10.6.100.63', '08800609');</v>
      </c>
      <c r="U140" s="12" t="str">
        <f t="shared" si="26"/>
        <v>INSERT INTO sy_user_branches (USER_CD, BRANCH_CODE, CLASS_CODE, ENT_BY, ENT_DATE, ENT_BY_IP)</v>
      </c>
      <c r="V140" s="12" t="str">
        <f>"values('"&amp;B140&amp;"','01', '08', 'ABDUL', sysdate, '10.6.100.63');"</f>
        <v>values('088006091','01', '08', 'ABDUL', sysdate, '10.6.100.63');</v>
      </c>
      <c r="W140" s="12" t="str">
        <f t="shared" si="28"/>
        <v>INSERT INTO sy_perm_list (USER_CD, OPT_CD, ACCESS_TYPE, BRANCH_CODE, CLASS_CODE, ENT_BY, ENT_DATE, ENT_BY_IP)</v>
      </c>
      <c r="X140" s="12" t="str">
        <f>"VALUES('"&amp;B140&amp;"','ClaimComments.aspx', 'USER', '01', '08', 'ABDUL', SYSDATE, '10.6.100.63');"</f>
        <v>VALUES('088006091','ClaimComments.aspx', 'USER', '01', '08', 'ABDUL', SYSDATE, '10.6.100.63');</v>
      </c>
      <c r="Y140" s="12" t="str">
        <f t="shared" si="30"/>
        <v>INSERT INTO sy_perm_list (USER_CD, OPT_CD, ACCESS_TYPE, BRANCH_CODE, CLASS_CODE, ENT_BY, ENT_DATE, ENT_BY_IP)</v>
      </c>
      <c r="Z140" s="12" t="str">
        <f>"VALUES('"&amp;B140&amp;"','ClaimDocs.aspx', 'USER', '01', '08', 'ABDUL', SYSDATE, '10.6.100.63');"</f>
        <v>VALUES('088006091','ClaimDocs.aspx', 'USER', '01', '08', 'ABDUL', SYSDATE, '10.6.100.63');</v>
      </c>
      <c r="AA140" s="12" t="str">
        <f t="shared" si="32"/>
        <v>INSERT INTO sy_perm_list (USER_CD, OPT_CD, ACCESS_TYPE, BRANCH_CODE, CLASS_CODE, ENT_BY, ENT_DATE, ENT_BY_IP)</v>
      </c>
      <c r="AB140" s="12" t="str">
        <f>"VALUES('"&amp;B140&amp;"','Client.aspx', 'USER', '01', '08', 'ABDUL', SYSDATE, '10.6.100.63');"</f>
        <v>VALUES('088006091','Client.aspx', 'USER', '01', '08', 'ABDUL', SYSDATE, '10.6.100.63');</v>
      </c>
      <c r="AC140" s="12" t="str">
        <f t="shared" si="34"/>
        <v>INSERT INTO sy_perm_list (USER_CD, OPT_CD, ACCESS_TYPE, BRANCH_CODE, CLASS_CODE, ENT_BY, ENT_DATE, ENT_BY_IP)</v>
      </c>
      <c r="AD140" s="12" t="str">
        <f>"VALUES('"&amp;B140&amp;"','ClientReports.aspx', 'USER', '01', '08', 'ABDUL', SYSDATE, '10.6.100.63');"</f>
        <v>VALUES('088006091','ClientReports.aspx', 'USER', '01', '08', 'ABDUL', SYSDATE, '10.6.100.63');</v>
      </c>
      <c r="AE140" s="12" t="str">
        <f t="shared" si="36"/>
        <v>INSERT INTO sy_perm_list (USER_CD, OPT_CD, ACCESS_TYPE, BRANCH_CODE, CLASS_CODE, ENT_BY, ENT_DATE, ENT_BY_IP)</v>
      </c>
      <c r="AF140" s="12" t="str">
        <f>"VALUES('"&amp;B140&amp;"','ClientRequests.aspx', 'USER', '01', '08', 'ABDUL', SYSDATE, '10.6.100.63');"</f>
        <v>VALUES('088006091','ClientRequests.aspx', 'USER', '01', '08', 'ABDUL', SYSDATE, '10.6.100.63');</v>
      </c>
      <c r="AG140" s="12" t="str">
        <f t="shared" si="38"/>
        <v>INSERT INTO sy_perm_list (USER_CD, OPT_CD, ACCESS_TYPE, BRANCH_CODE, CLASS_CODE, ENT_BY, ENT_DATE, ENT_BY_IP)</v>
      </c>
      <c r="AH140" s="12" t="str">
        <f>"VALUES('"&amp;B140&amp;"','HealthLife.aspx', 'USER', '01', '08', 'ABDUL', SYSDATE, '10.6.100.63');"</f>
        <v>VALUES('088006091','HealthLife.aspx', 'USER', '01', '08', 'ABDUL', SYSDATE, '10.6.100.63');</v>
      </c>
      <c r="AI140" s="12" t="str">
        <f t="shared" si="40"/>
        <v>INSERT INTO sy_perm_list (USER_CD, OPT_CD, ACCESS_TYPE, BRANCH_CODE, CLASS_CODE, ENT_BY, ENT_DATE, ENT_BY_IP)</v>
      </c>
      <c r="AJ140" s="12" t="str">
        <f>"VALUES('"&amp;B140&amp;"','IpdClaim.aspx', 'USER', '01', '08', 'ABDUL', SYSDATE, '10.6.100.63');"</f>
        <v>VALUES('088006091','IpdClaim.aspx', 'USER', '01', '08', 'ABDUL', SYSDATE, '10.6.100.63');</v>
      </c>
      <c r="AK140" s="12" t="str">
        <f t="shared" si="42"/>
        <v>INSERT INTO sy_perm_list (USER_CD, OPT_CD, ACCESS_TYPE, BRANCH_CODE, CLASS_CODE, ENT_BY, ENT_DATE, ENT_BY_IP)</v>
      </c>
      <c r="AL140" s="12" t="str">
        <f>"VALUES('"&amp;B140&amp;"','OpdClaim.aspx', 'USER', '01', '08', 'ABDUL', SYSDATE, '10.6.100.63');"</f>
        <v>VALUES('088006091','OpdClaim.aspx', 'USER', '01', '08', 'ABDUL', SYSDATE, '10.6.100.63');</v>
      </c>
      <c r="AM140" s="12" t="str">
        <f t="shared" si="44"/>
        <v>INSERT INTO sy_perm_list (USER_CD, OPT_CD, ACCESS_TYPE, BRANCH_CODE, CLASS_CODE, ENT_BY, ENT_DATE, ENT_BY_IP)</v>
      </c>
      <c r="AN140" s="12" t="str">
        <f>"VALUES('"&amp;B140&amp;"','RequestDetails.aspx', 'USER', '01', '08', 'ABDUL', SYSDATE, '10.6.100.63');"</f>
        <v>VALUES('088006091','RequestDetails.aspx', 'USER', '01', '08', 'ABDUL', SYSDATE, '10.6.100.63');</v>
      </c>
      <c r="AO140" s="12" t="str">
        <f t="shared" si="46"/>
        <v>INSERT INTO sy_perm_list (USER_CD, OPT_CD, ACCESS_TYPE, BRANCH_CODE, CLASS_CODE, ENT_BY, ENT_DATE, ENT_BY_IP)</v>
      </c>
      <c r="AP140" s="12" t="str">
        <f>"VALUES('"&amp;B140&amp;"','TodaysRequest.aspx', 'USER', '01', '08', 'ABDUL', SYSDATE, '10.6.100.63');"</f>
        <v>VALUES('088006091','TodaysRequest.aspx', 'USER', '01', '08', 'ABDUL', SYSDATE, '10.6.100.63');</v>
      </c>
    </row>
    <row r="141" spans="1:42" s="6" customFormat="1" ht="76.5" x14ac:dyDescent="0.2">
      <c r="A141" s="4">
        <v>124</v>
      </c>
      <c r="B141" s="5" t="s">
        <v>774</v>
      </c>
      <c r="C141" s="5">
        <v>9000298</v>
      </c>
      <c r="D141" s="6" t="s">
        <v>550</v>
      </c>
      <c r="E141" s="6" t="s">
        <v>299</v>
      </c>
      <c r="F141" s="5" t="s">
        <v>287</v>
      </c>
      <c r="G141" s="6" t="s">
        <v>288</v>
      </c>
      <c r="H141" s="5" t="s">
        <v>650</v>
      </c>
      <c r="I141" s="5">
        <v>820</v>
      </c>
      <c r="J141" s="5" t="s">
        <v>551</v>
      </c>
      <c r="K141" s="6" t="s">
        <v>552</v>
      </c>
      <c r="L141" s="6" t="s">
        <v>623</v>
      </c>
      <c r="M141" s="6" t="s">
        <v>624</v>
      </c>
      <c r="N141" s="7">
        <v>44273</v>
      </c>
      <c r="O141" s="7">
        <v>44256</v>
      </c>
      <c r="P141" s="7">
        <v>44620</v>
      </c>
      <c r="Q141" s="8">
        <v>39</v>
      </c>
      <c r="R141" s="8">
        <v>148</v>
      </c>
      <c r="S14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1" s="12" t="str">
        <f t="shared" si="25"/>
        <v>VALUES('08801844','ROUTE-2 HEALTH (PRIVATE) LIMITED','Salaam@123','Y','N',sysdate,'016', 'C', 'Client', 'asad.ejaz@route2health.net','01','B', '08', 'ABDUL', sysdate, '10.6.100.63', '08801844');</v>
      </c>
      <c r="U141" s="12" t="str">
        <f t="shared" si="26"/>
        <v>INSERT INTO sy_user_branches (USER_CD, BRANCH_CODE, CLASS_CODE, ENT_BY, ENT_DATE, ENT_BY_IP)</v>
      </c>
      <c r="V141" s="12" t="str">
        <f t="shared" si="27"/>
        <v>values('08801844','01', '08', 'ABDUL', sysdate, '10.6.100.63');</v>
      </c>
      <c r="W141" s="12" t="str">
        <f t="shared" si="28"/>
        <v>INSERT INTO sy_perm_list (USER_CD, OPT_CD, ACCESS_TYPE, BRANCH_CODE, CLASS_CODE, ENT_BY, ENT_DATE, ENT_BY_IP)</v>
      </c>
      <c r="X141" s="12" t="str">
        <f t="shared" si="29"/>
        <v>VALUES('08801844','ClaimComments.aspx', 'USER', '01', '08', 'ABDUL', SYSDATE, '10.6.100.63');</v>
      </c>
      <c r="Y141" s="12" t="str">
        <f t="shared" si="30"/>
        <v>INSERT INTO sy_perm_list (USER_CD, OPT_CD, ACCESS_TYPE, BRANCH_CODE, CLASS_CODE, ENT_BY, ENT_DATE, ENT_BY_IP)</v>
      </c>
      <c r="Z141" s="12" t="str">
        <f t="shared" si="31"/>
        <v>VALUES('08801844','ClaimDocs.aspx', 'USER', '01', '08', 'ABDUL', SYSDATE, '10.6.100.63');</v>
      </c>
      <c r="AA141" s="12" t="str">
        <f t="shared" si="32"/>
        <v>INSERT INTO sy_perm_list (USER_CD, OPT_CD, ACCESS_TYPE, BRANCH_CODE, CLASS_CODE, ENT_BY, ENT_DATE, ENT_BY_IP)</v>
      </c>
      <c r="AB141" s="12" t="str">
        <f t="shared" si="33"/>
        <v>VALUES('08801844','Client.aspx', 'USER', '01', '08', 'ABDUL', SYSDATE, '10.6.100.63');</v>
      </c>
      <c r="AC141" s="12" t="str">
        <f t="shared" si="34"/>
        <v>INSERT INTO sy_perm_list (USER_CD, OPT_CD, ACCESS_TYPE, BRANCH_CODE, CLASS_CODE, ENT_BY, ENT_DATE, ENT_BY_IP)</v>
      </c>
      <c r="AD141" s="12" t="str">
        <f t="shared" si="35"/>
        <v>VALUES('08801844','ClientReports.aspx', 'USER', '01', '08', 'ABDUL', SYSDATE, '10.6.100.63');</v>
      </c>
      <c r="AE141" s="12" t="str">
        <f t="shared" si="36"/>
        <v>INSERT INTO sy_perm_list (USER_CD, OPT_CD, ACCESS_TYPE, BRANCH_CODE, CLASS_CODE, ENT_BY, ENT_DATE, ENT_BY_IP)</v>
      </c>
      <c r="AF141" s="12" t="str">
        <f t="shared" si="37"/>
        <v>VALUES('08801844','ClientRequests.aspx', 'USER', '01', '08', 'ABDUL', SYSDATE, '10.6.100.63');</v>
      </c>
      <c r="AG141" s="12" t="str">
        <f t="shared" si="38"/>
        <v>INSERT INTO sy_perm_list (USER_CD, OPT_CD, ACCESS_TYPE, BRANCH_CODE, CLASS_CODE, ENT_BY, ENT_DATE, ENT_BY_IP)</v>
      </c>
      <c r="AH141" s="12" t="str">
        <f t="shared" si="39"/>
        <v>VALUES('08801844','HealthLife.aspx', 'USER', '01', '08', 'ABDUL', SYSDATE, '10.6.100.63');</v>
      </c>
      <c r="AI141" s="12" t="str">
        <f t="shared" si="40"/>
        <v>INSERT INTO sy_perm_list (USER_CD, OPT_CD, ACCESS_TYPE, BRANCH_CODE, CLASS_CODE, ENT_BY, ENT_DATE, ENT_BY_IP)</v>
      </c>
      <c r="AJ141" s="12" t="str">
        <f t="shared" si="41"/>
        <v>VALUES('08801844','IpdClaim.aspx', 'USER', '01', '08', 'ABDUL', SYSDATE, '10.6.100.63');</v>
      </c>
      <c r="AK141" s="12" t="str">
        <f t="shared" si="42"/>
        <v>INSERT INTO sy_perm_list (USER_CD, OPT_CD, ACCESS_TYPE, BRANCH_CODE, CLASS_CODE, ENT_BY, ENT_DATE, ENT_BY_IP)</v>
      </c>
      <c r="AL141" s="12" t="str">
        <f t="shared" si="43"/>
        <v>VALUES('08801844','OpdClaim.aspx', 'USER', '01', '08', 'ABDUL', SYSDATE, '10.6.100.63');</v>
      </c>
      <c r="AM141" s="12" t="str">
        <f t="shared" si="44"/>
        <v>INSERT INTO sy_perm_list (USER_CD, OPT_CD, ACCESS_TYPE, BRANCH_CODE, CLASS_CODE, ENT_BY, ENT_DATE, ENT_BY_IP)</v>
      </c>
      <c r="AN141" s="12" t="str">
        <f t="shared" si="45"/>
        <v>VALUES('08801844','RequestDetails.aspx', 'USER', '01', '08', 'ABDUL', SYSDATE, '10.6.100.63');</v>
      </c>
      <c r="AO141" s="12" t="str">
        <f t="shared" si="46"/>
        <v>INSERT INTO sy_perm_list (USER_CD, OPT_CD, ACCESS_TYPE, BRANCH_CODE, CLASS_CODE, ENT_BY, ENT_DATE, ENT_BY_IP)</v>
      </c>
      <c r="AP141" s="12" t="str">
        <f t="shared" si="47"/>
        <v>VALUES('08801844','TodaysRequest.aspx', 'USER', '01', '08', 'ABDUL', SYSDATE, '10.6.100.63');</v>
      </c>
    </row>
    <row r="142" spans="1:42" s="6" customFormat="1" ht="76.5" x14ac:dyDescent="0.2">
      <c r="A142" s="4">
        <v>125</v>
      </c>
      <c r="B142" s="5" t="s">
        <v>775</v>
      </c>
      <c r="C142" s="5">
        <v>9000218</v>
      </c>
      <c r="D142" s="6" t="s">
        <v>310</v>
      </c>
      <c r="E142" s="6" t="s">
        <v>299</v>
      </c>
      <c r="F142" s="5" t="s">
        <v>287</v>
      </c>
      <c r="G142" s="6" t="s">
        <v>288</v>
      </c>
      <c r="H142" s="5" t="s">
        <v>649</v>
      </c>
      <c r="I142" s="5">
        <v>721</v>
      </c>
      <c r="J142" s="5" t="s">
        <v>428</v>
      </c>
      <c r="K142" s="6" t="s">
        <v>40</v>
      </c>
      <c r="L142" s="6" t="s">
        <v>94</v>
      </c>
      <c r="M142" s="6" t="s">
        <v>96</v>
      </c>
      <c r="N142" s="7">
        <v>44196</v>
      </c>
      <c r="O142" s="7">
        <v>44166</v>
      </c>
      <c r="P142" s="7">
        <v>44530</v>
      </c>
      <c r="Q142" s="8">
        <v>24</v>
      </c>
      <c r="R142" s="8">
        <v>92</v>
      </c>
      <c r="S14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2" s="12" t="str">
        <f t="shared" si="25"/>
        <v>VALUES('08801346','ROWASKI MILL (PRIVATE) LIMITED','Salaam@123','Y','N',sysdate,'016', 'C', 'Client', 'abidmemon.rowaski@gmail.com','01','B', '08', 'ABDUL', sysdate, '10.6.100.63', '08801346');</v>
      </c>
      <c r="U142" s="12" t="str">
        <f t="shared" si="26"/>
        <v>INSERT INTO sy_user_branches (USER_CD, BRANCH_CODE, CLASS_CODE, ENT_BY, ENT_DATE, ENT_BY_IP)</v>
      </c>
      <c r="V142" s="12" t="str">
        <f t="shared" si="27"/>
        <v>values('08801346','01', '08', 'ABDUL', sysdate, '10.6.100.63');</v>
      </c>
      <c r="W142" s="12" t="str">
        <f t="shared" si="28"/>
        <v>INSERT INTO sy_perm_list (USER_CD, OPT_CD, ACCESS_TYPE, BRANCH_CODE, CLASS_CODE, ENT_BY, ENT_DATE, ENT_BY_IP)</v>
      </c>
      <c r="X142" s="12" t="str">
        <f t="shared" si="29"/>
        <v>VALUES('08801346','ClaimComments.aspx', 'USER', '01', '08', 'ABDUL', SYSDATE, '10.6.100.63');</v>
      </c>
      <c r="Y142" s="12" t="str">
        <f t="shared" si="30"/>
        <v>INSERT INTO sy_perm_list (USER_CD, OPT_CD, ACCESS_TYPE, BRANCH_CODE, CLASS_CODE, ENT_BY, ENT_DATE, ENT_BY_IP)</v>
      </c>
      <c r="Z142" s="12" t="str">
        <f t="shared" si="31"/>
        <v>VALUES('08801346','ClaimDocs.aspx', 'USER', '01', '08', 'ABDUL', SYSDATE, '10.6.100.63');</v>
      </c>
      <c r="AA142" s="12" t="str">
        <f t="shared" si="32"/>
        <v>INSERT INTO sy_perm_list (USER_CD, OPT_CD, ACCESS_TYPE, BRANCH_CODE, CLASS_CODE, ENT_BY, ENT_DATE, ENT_BY_IP)</v>
      </c>
      <c r="AB142" s="12" t="str">
        <f t="shared" si="33"/>
        <v>VALUES('08801346','Client.aspx', 'USER', '01', '08', 'ABDUL', SYSDATE, '10.6.100.63');</v>
      </c>
      <c r="AC142" s="12" t="str">
        <f t="shared" si="34"/>
        <v>INSERT INTO sy_perm_list (USER_CD, OPT_CD, ACCESS_TYPE, BRANCH_CODE, CLASS_CODE, ENT_BY, ENT_DATE, ENT_BY_IP)</v>
      </c>
      <c r="AD142" s="12" t="str">
        <f t="shared" si="35"/>
        <v>VALUES('08801346','ClientReports.aspx', 'USER', '01', '08', 'ABDUL', SYSDATE, '10.6.100.63');</v>
      </c>
      <c r="AE142" s="12" t="str">
        <f t="shared" si="36"/>
        <v>INSERT INTO sy_perm_list (USER_CD, OPT_CD, ACCESS_TYPE, BRANCH_CODE, CLASS_CODE, ENT_BY, ENT_DATE, ENT_BY_IP)</v>
      </c>
      <c r="AF142" s="12" t="str">
        <f t="shared" si="37"/>
        <v>VALUES('08801346','ClientRequests.aspx', 'USER', '01', '08', 'ABDUL', SYSDATE, '10.6.100.63');</v>
      </c>
      <c r="AG142" s="12" t="str">
        <f t="shared" si="38"/>
        <v>INSERT INTO sy_perm_list (USER_CD, OPT_CD, ACCESS_TYPE, BRANCH_CODE, CLASS_CODE, ENT_BY, ENT_DATE, ENT_BY_IP)</v>
      </c>
      <c r="AH142" s="12" t="str">
        <f t="shared" si="39"/>
        <v>VALUES('08801346','HealthLife.aspx', 'USER', '01', '08', 'ABDUL', SYSDATE, '10.6.100.63');</v>
      </c>
      <c r="AI142" s="12" t="str">
        <f t="shared" si="40"/>
        <v>INSERT INTO sy_perm_list (USER_CD, OPT_CD, ACCESS_TYPE, BRANCH_CODE, CLASS_CODE, ENT_BY, ENT_DATE, ENT_BY_IP)</v>
      </c>
      <c r="AJ142" s="12" t="str">
        <f t="shared" si="41"/>
        <v>VALUES('08801346','IpdClaim.aspx', 'USER', '01', '08', 'ABDUL', SYSDATE, '10.6.100.63');</v>
      </c>
      <c r="AK142" s="12" t="str">
        <f t="shared" si="42"/>
        <v>INSERT INTO sy_perm_list (USER_CD, OPT_CD, ACCESS_TYPE, BRANCH_CODE, CLASS_CODE, ENT_BY, ENT_DATE, ENT_BY_IP)</v>
      </c>
      <c r="AL142" s="12" t="str">
        <f t="shared" si="43"/>
        <v>VALUES('08801346','OpdClaim.aspx', 'USER', '01', '08', 'ABDUL', SYSDATE, '10.6.100.63');</v>
      </c>
      <c r="AM142" s="12" t="str">
        <f t="shared" si="44"/>
        <v>INSERT INTO sy_perm_list (USER_CD, OPT_CD, ACCESS_TYPE, BRANCH_CODE, CLASS_CODE, ENT_BY, ENT_DATE, ENT_BY_IP)</v>
      </c>
      <c r="AN142" s="12" t="str">
        <f t="shared" si="45"/>
        <v>VALUES('08801346','RequestDetails.aspx', 'USER', '01', '08', 'ABDUL', SYSDATE, '10.6.100.63');</v>
      </c>
      <c r="AO142" s="12" t="str">
        <f t="shared" si="46"/>
        <v>INSERT INTO sy_perm_list (USER_CD, OPT_CD, ACCESS_TYPE, BRANCH_CODE, CLASS_CODE, ENT_BY, ENT_DATE, ENT_BY_IP)</v>
      </c>
      <c r="AP142" s="12" t="str">
        <f t="shared" si="47"/>
        <v>VALUES('08801346','TodaysRequest.aspx', 'USER', '01', '08', 'ABDUL', SYSDATE, '10.6.100.63');</v>
      </c>
    </row>
    <row r="143" spans="1:42" s="6" customFormat="1" ht="76.5" x14ac:dyDescent="0.2">
      <c r="A143" s="4">
        <v>126</v>
      </c>
      <c r="B143" s="5" t="s">
        <v>776</v>
      </c>
      <c r="C143" s="5">
        <v>9000218</v>
      </c>
      <c r="D143" s="6" t="s">
        <v>310</v>
      </c>
      <c r="E143" s="6" t="s">
        <v>299</v>
      </c>
      <c r="F143" s="5" t="s">
        <v>287</v>
      </c>
      <c r="G143" s="6" t="s">
        <v>288</v>
      </c>
      <c r="H143" s="5" t="s">
        <v>649</v>
      </c>
      <c r="I143" s="5">
        <v>628</v>
      </c>
      <c r="J143" s="5" t="s">
        <v>367</v>
      </c>
      <c r="K143" s="6" t="s">
        <v>368</v>
      </c>
      <c r="L143" s="6" t="s">
        <v>217</v>
      </c>
      <c r="M143" s="6" t="s">
        <v>218</v>
      </c>
      <c r="N143" s="7">
        <v>44099</v>
      </c>
      <c r="O143" s="7">
        <v>44084</v>
      </c>
      <c r="P143" s="7">
        <v>44448</v>
      </c>
      <c r="Q143" s="8">
        <v>46</v>
      </c>
      <c r="R143" s="8">
        <v>176</v>
      </c>
      <c r="S14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3" s="12" t="str">
        <f t="shared" si="25"/>
        <v>VALUES('08801549','ROYAL GROUP','Salaam@123','Y','N',sysdate,'016', 'C', 'Client', 'mohammad.afzal@royalgroupweb.com ','01','B', '08', 'ABDUL', sysdate, '10.6.100.63', '08801549');</v>
      </c>
      <c r="U143" s="12" t="str">
        <f t="shared" si="26"/>
        <v>INSERT INTO sy_user_branches (USER_CD, BRANCH_CODE, CLASS_CODE, ENT_BY, ENT_DATE, ENT_BY_IP)</v>
      </c>
      <c r="V143" s="12" t="str">
        <f t="shared" si="27"/>
        <v>values('08801549','01', '08', 'ABDUL', sysdate, '10.6.100.63');</v>
      </c>
      <c r="W143" s="12" t="str">
        <f t="shared" si="28"/>
        <v>INSERT INTO sy_perm_list (USER_CD, OPT_CD, ACCESS_TYPE, BRANCH_CODE, CLASS_CODE, ENT_BY, ENT_DATE, ENT_BY_IP)</v>
      </c>
      <c r="X143" s="12" t="str">
        <f t="shared" si="29"/>
        <v>VALUES('08801549','ClaimComments.aspx', 'USER', '01', '08', 'ABDUL', SYSDATE, '10.6.100.63');</v>
      </c>
      <c r="Y143" s="12" t="str">
        <f t="shared" si="30"/>
        <v>INSERT INTO sy_perm_list (USER_CD, OPT_CD, ACCESS_TYPE, BRANCH_CODE, CLASS_CODE, ENT_BY, ENT_DATE, ENT_BY_IP)</v>
      </c>
      <c r="Z143" s="12" t="str">
        <f t="shared" si="31"/>
        <v>VALUES('08801549','ClaimDocs.aspx', 'USER', '01', '08', 'ABDUL', SYSDATE, '10.6.100.63');</v>
      </c>
      <c r="AA143" s="12" t="str">
        <f t="shared" si="32"/>
        <v>INSERT INTO sy_perm_list (USER_CD, OPT_CD, ACCESS_TYPE, BRANCH_CODE, CLASS_CODE, ENT_BY, ENT_DATE, ENT_BY_IP)</v>
      </c>
      <c r="AB143" s="12" t="str">
        <f t="shared" si="33"/>
        <v>VALUES('08801549','Client.aspx', 'USER', '01', '08', 'ABDUL', SYSDATE, '10.6.100.63');</v>
      </c>
      <c r="AC143" s="12" t="str">
        <f t="shared" si="34"/>
        <v>INSERT INTO sy_perm_list (USER_CD, OPT_CD, ACCESS_TYPE, BRANCH_CODE, CLASS_CODE, ENT_BY, ENT_DATE, ENT_BY_IP)</v>
      </c>
      <c r="AD143" s="12" t="str">
        <f t="shared" si="35"/>
        <v>VALUES('08801549','ClientReports.aspx', 'USER', '01', '08', 'ABDUL', SYSDATE, '10.6.100.63');</v>
      </c>
      <c r="AE143" s="12" t="str">
        <f t="shared" si="36"/>
        <v>INSERT INTO sy_perm_list (USER_CD, OPT_CD, ACCESS_TYPE, BRANCH_CODE, CLASS_CODE, ENT_BY, ENT_DATE, ENT_BY_IP)</v>
      </c>
      <c r="AF143" s="12" t="str">
        <f t="shared" si="37"/>
        <v>VALUES('08801549','ClientRequests.aspx', 'USER', '01', '08', 'ABDUL', SYSDATE, '10.6.100.63');</v>
      </c>
      <c r="AG143" s="12" t="str">
        <f t="shared" si="38"/>
        <v>INSERT INTO sy_perm_list (USER_CD, OPT_CD, ACCESS_TYPE, BRANCH_CODE, CLASS_CODE, ENT_BY, ENT_DATE, ENT_BY_IP)</v>
      </c>
      <c r="AH143" s="12" t="str">
        <f t="shared" si="39"/>
        <v>VALUES('08801549','HealthLife.aspx', 'USER', '01', '08', 'ABDUL', SYSDATE, '10.6.100.63');</v>
      </c>
      <c r="AI143" s="12" t="str">
        <f t="shared" si="40"/>
        <v>INSERT INTO sy_perm_list (USER_CD, OPT_CD, ACCESS_TYPE, BRANCH_CODE, CLASS_CODE, ENT_BY, ENT_DATE, ENT_BY_IP)</v>
      </c>
      <c r="AJ143" s="12" t="str">
        <f t="shared" si="41"/>
        <v>VALUES('08801549','IpdClaim.aspx', 'USER', '01', '08', 'ABDUL', SYSDATE, '10.6.100.63');</v>
      </c>
      <c r="AK143" s="12" t="str">
        <f t="shared" si="42"/>
        <v>INSERT INTO sy_perm_list (USER_CD, OPT_CD, ACCESS_TYPE, BRANCH_CODE, CLASS_CODE, ENT_BY, ENT_DATE, ENT_BY_IP)</v>
      </c>
      <c r="AL143" s="12" t="str">
        <f t="shared" si="43"/>
        <v>VALUES('08801549','OpdClaim.aspx', 'USER', '01', '08', 'ABDUL', SYSDATE, '10.6.100.63');</v>
      </c>
      <c r="AM143" s="12" t="str">
        <f t="shared" si="44"/>
        <v>INSERT INTO sy_perm_list (USER_CD, OPT_CD, ACCESS_TYPE, BRANCH_CODE, CLASS_CODE, ENT_BY, ENT_DATE, ENT_BY_IP)</v>
      </c>
      <c r="AN143" s="12" t="str">
        <f t="shared" si="45"/>
        <v>VALUES('08801549','RequestDetails.aspx', 'USER', '01', '08', 'ABDUL', SYSDATE, '10.6.100.63');</v>
      </c>
      <c r="AO143" s="12" t="str">
        <f t="shared" si="46"/>
        <v>INSERT INTO sy_perm_list (USER_CD, OPT_CD, ACCESS_TYPE, BRANCH_CODE, CLASS_CODE, ENT_BY, ENT_DATE, ENT_BY_IP)</v>
      </c>
      <c r="AP143" s="12" t="str">
        <f t="shared" si="47"/>
        <v>VALUES('08801549','TodaysRequest.aspx', 'USER', '01', '08', 'ABDUL', SYSDATE, '10.6.100.63');</v>
      </c>
    </row>
    <row r="144" spans="1:42" s="6" customFormat="1" ht="76.5" x14ac:dyDescent="0.2">
      <c r="A144" s="4">
        <v>127</v>
      </c>
      <c r="B144" s="5" t="s">
        <v>777</v>
      </c>
      <c r="C144" s="5">
        <v>9000221</v>
      </c>
      <c r="D144" s="6" t="s">
        <v>285</v>
      </c>
      <c r="E144" s="6" t="s">
        <v>286</v>
      </c>
      <c r="F144" s="5" t="s">
        <v>287</v>
      </c>
      <c r="G144" s="6" t="s">
        <v>288</v>
      </c>
      <c r="H144" s="5" t="s">
        <v>650</v>
      </c>
      <c r="I144" s="5">
        <v>795</v>
      </c>
      <c r="J144" s="5" t="s">
        <v>518</v>
      </c>
      <c r="K144" s="6" t="s">
        <v>519</v>
      </c>
      <c r="L144" s="6" t="s">
        <v>625</v>
      </c>
      <c r="M144" s="6" t="s">
        <v>626</v>
      </c>
      <c r="N144" s="7">
        <v>44256</v>
      </c>
      <c r="O144" s="7">
        <v>44228</v>
      </c>
      <c r="P144" s="7">
        <v>44592</v>
      </c>
      <c r="Q144" s="8">
        <v>950</v>
      </c>
      <c r="R144" s="8">
        <v>1040</v>
      </c>
      <c r="S14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4" s="12" t="str">
        <f t="shared" si="25"/>
        <v>VALUES('08801807','RUBA DIGITAL (PVT) LIMITED','Salaam@123','Y','N',sysdate,'016', 'C', 'Client', 'rashid.minhas@rd.net.pk','01','B', '08', 'ABDUL', sysdate, '10.6.100.63', '08801807');</v>
      </c>
      <c r="U144" s="12" t="str">
        <f t="shared" si="26"/>
        <v>INSERT INTO sy_user_branches (USER_CD, BRANCH_CODE, CLASS_CODE, ENT_BY, ENT_DATE, ENT_BY_IP)</v>
      </c>
      <c r="V144" s="12" t="str">
        <f t="shared" si="27"/>
        <v>values('08801807','01', '08', 'ABDUL', sysdate, '10.6.100.63');</v>
      </c>
      <c r="W144" s="12" t="str">
        <f t="shared" si="28"/>
        <v>INSERT INTO sy_perm_list (USER_CD, OPT_CD, ACCESS_TYPE, BRANCH_CODE, CLASS_CODE, ENT_BY, ENT_DATE, ENT_BY_IP)</v>
      </c>
      <c r="X144" s="12" t="str">
        <f t="shared" si="29"/>
        <v>VALUES('08801807','ClaimComments.aspx', 'USER', '01', '08', 'ABDUL', SYSDATE, '10.6.100.63');</v>
      </c>
      <c r="Y144" s="12" t="str">
        <f t="shared" si="30"/>
        <v>INSERT INTO sy_perm_list (USER_CD, OPT_CD, ACCESS_TYPE, BRANCH_CODE, CLASS_CODE, ENT_BY, ENT_DATE, ENT_BY_IP)</v>
      </c>
      <c r="Z144" s="12" t="str">
        <f t="shared" si="31"/>
        <v>VALUES('08801807','ClaimDocs.aspx', 'USER', '01', '08', 'ABDUL', SYSDATE, '10.6.100.63');</v>
      </c>
      <c r="AA144" s="12" t="str">
        <f t="shared" si="32"/>
        <v>INSERT INTO sy_perm_list (USER_CD, OPT_CD, ACCESS_TYPE, BRANCH_CODE, CLASS_CODE, ENT_BY, ENT_DATE, ENT_BY_IP)</v>
      </c>
      <c r="AB144" s="12" t="str">
        <f t="shared" si="33"/>
        <v>VALUES('08801807','Client.aspx', 'USER', '01', '08', 'ABDUL', SYSDATE, '10.6.100.63');</v>
      </c>
      <c r="AC144" s="12" t="str">
        <f t="shared" si="34"/>
        <v>INSERT INTO sy_perm_list (USER_CD, OPT_CD, ACCESS_TYPE, BRANCH_CODE, CLASS_CODE, ENT_BY, ENT_DATE, ENT_BY_IP)</v>
      </c>
      <c r="AD144" s="12" t="str">
        <f t="shared" si="35"/>
        <v>VALUES('08801807','ClientReports.aspx', 'USER', '01', '08', 'ABDUL', SYSDATE, '10.6.100.63');</v>
      </c>
      <c r="AE144" s="12" t="str">
        <f t="shared" si="36"/>
        <v>INSERT INTO sy_perm_list (USER_CD, OPT_CD, ACCESS_TYPE, BRANCH_CODE, CLASS_CODE, ENT_BY, ENT_DATE, ENT_BY_IP)</v>
      </c>
      <c r="AF144" s="12" t="str">
        <f t="shared" si="37"/>
        <v>VALUES('08801807','ClientRequests.aspx', 'USER', '01', '08', 'ABDUL', SYSDATE, '10.6.100.63');</v>
      </c>
      <c r="AG144" s="12" t="str">
        <f t="shared" si="38"/>
        <v>INSERT INTO sy_perm_list (USER_CD, OPT_CD, ACCESS_TYPE, BRANCH_CODE, CLASS_CODE, ENT_BY, ENT_DATE, ENT_BY_IP)</v>
      </c>
      <c r="AH144" s="12" t="str">
        <f t="shared" si="39"/>
        <v>VALUES('08801807','HealthLife.aspx', 'USER', '01', '08', 'ABDUL', SYSDATE, '10.6.100.63');</v>
      </c>
      <c r="AI144" s="12" t="str">
        <f t="shared" si="40"/>
        <v>INSERT INTO sy_perm_list (USER_CD, OPT_CD, ACCESS_TYPE, BRANCH_CODE, CLASS_CODE, ENT_BY, ENT_DATE, ENT_BY_IP)</v>
      </c>
      <c r="AJ144" s="12" t="str">
        <f t="shared" si="41"/>
        <v>VALUES('08801807','IpdClaim.aspx', 'USER', '01', '08', 'ABDUL', SYSDATE, '10.6.100.63');</v>
      </c>
      <c r="AK144" s="12" t="str">
        <f t="shared" si="42"/>
        <v>INSERT INTO sy_perm_list (USER_CD, OPT_CD, ACCESS_TYPE, BRANCH_CODE, CLASS_CODE, ENT_BY, ENT_DATE, ENT_BY_IP)</v>
      </c>
      <c r="AL144" s="12" t="str">
        <f t="shared" si="43"/>
        <v>VALUES('08801807','OpdClaim.aspx', 'USER', '01', '08', 'ABDUL', SYSDATE, '10.6.100.63');</v>
      </c>
      <c r="AM144" s="12" t="str">
        <f t="shared" si="44"/>
        <v>INSERT INTO sy_perm_list (USER_CD, OPT_CD, ACCESS_TYPE, BRANCH_CODE, CLASS_CODE, ENT_BY, ENT_DATE, ENT_BY_IP)</v>
      </c>
      <c r="AN144" s="12" t="str">
        <f t="shared" si="45"/>
        <v>VALUES('08801807','RequestDetails.aspx', 'USER', '01', '08', 'ABDUL', SYSDATE, '10.6.100.63');</v>
      </c>
      <c r="AO144" s="12" t="str">
        <f t="shared" si="46"/>
        <v>INSERT INTO sy_perm_list (USER_CD, OPT_CD, ACCESS_TYPE, BRANCH_CODE, CLASS_CODE, ENT_BY, ENT_DATE, ENT_BY_IP)</v>
      </c>
      <c r="AP144" s="12" t="str">
        <f t="shared" si="47"/>
        <v>VALUES('08801807','TodaysRequest.aspx', 'USER', '01', '08', 'ABDUL', SYSDATE, '10.6.100.63');</v>
      </c>
    </row>
    <row r="145" spans="1:42" s="6" customFormat="1" ht="76.5" x14ac:dyDescent="0.2">
      <c r="A145" s="4">
        <v>128</v>
      </c>
      <c r="B145" s="5" t="s">
        <v>778</v>
      </c>
      <c r="C145" s="5">
        <v>9000218</v>
      </c>
      <c r="D145" s="6" t="s">
        <v>310</v>
      </c>
      <c r="E145" s="6" t="s">
        <v>299</v>
      </c>
      <c r="F145" s="5" t="s">
        <v>287</v>
      </c>
      <c r="G145" s="6" t="s">
        <v>288</v>
      </c>
      <c r="H145" s="5" t="s">
        <v>649</v>
      </c>
      <c r="I145" s="5">
        <v>627</v>
      </c>
      <c r="J145" s="5" t="s">
        <v>369</v>
      </c>
      <c r="K145" s="6" t="s">
        <v>90</v>
      </c>
      <c r="L145" s="6" t="s">
        <v>63</v>
      </c>
      <c r="M145" s="6" t="s">
        <v>64</v>
      </c>
      <c r="N145" s="7">
        <v>44099</v>
      </c>
      <c r="O145" s="7">
        <v>44105</v>
      </c>
      <c r="P145" s="7">
        <v>44469</v>
      </c>
      <c r="Q145" s="8">
        <v>96</v>
      </c>
      <c r="R145" s="8">
        <v>284</v>
      </c>
      <c r="S145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5" s="12" t="str">
        <f t="shared" si="25"/>
        <v>VALUES('08801547','SACHAL MARKETING SERVICES (PRIVATE) LIMITED','Salaam@123','Y','N',sysdate,'016', 'C', 'Client', 'suman.kumari@vinicosmetics.pk','01','B', '08', 'ABDUL', sysdate, '10.6.100.63', '08801547');</v>
      </c>
      <c r="U145" s="12" t="str">
        <f t="shared" si="26"/>
        <v>INSERT INTO sy_user_branches (USER_CD, BRANCH_CODE, CLASS_CODE, ENT_BY, ENT_DATE, ENT_BY_IP)</v>
      </c>
      <c r="V145" s="12" t="str">
        <f t="shared" si="27"/>
        <v>values('08801547','01', '08', 'ABDUL', sysdate, '10.6.100.63');</v>
      </c>
      <c r="W145" s="12" t="str">
        <f t="shared" si="28"/>
        <v>INSERT INTO sy_perm_list (USER_CD, OPT_CD, ACCESS_TYPE, BRANCH_CODE, CLASS_CODE, ENT_BY, ENT_DATE, ENT_BY_IP)</v>
      </c>
      <c r="X145" s="12" t="str">
        <f t="shared" si="29"/>
        <v>VALUES('08801547','ClaimComments.aspx', 'USER', '01', '08', 'ABDUL', SYSDATE, '10.6.100.63');</v>
      </c>
      <c r="Y145" s="12" t="str">
        <f t="shared" si="30"/>
        <v>INSERT INTO sy_perm_list (USER_CD, OPT_CD, ACCESS_TYPE, BRANCH_CODE, CLASS_CODE, ENT_BY, ENT_DATE, ENT_BY_IP)</v>
      </c>
      <c r="Z145" s="12" t="str">
        <f t="shared" si="31"/>
        <v>VALUES('08801547','ClaimDocs.aspx', 'USER', '01', '08', 'ABDUL', SYSDATE, '10.6.100.63');</v>
      </c>
      <c r="AA145" s="12" t="str">
        <f t="shared" si="32"/>
        <v>INSERT INTO sy_perm_list (USER_CD, OPT_CD, ACCESS_TYPE, BRANCH_CODE, CLASS_CODE, ENT_BY, ENT_DATE, ENT_BY_IP)</v>
      </c>
      <c r="AB145" s="12" t="str">
        <f t="shared" si="33"/>
        <v>VALUES('08801547','Client.aspx', 'USER', '01', '08', 'ABDUL', SYSDATE, '10.6.100.63');</v>
      </c>
      <c r="AC145" s="12" t="str">
        <f t="shared" si="34"/>
        <v>INSERT INTO sy_perm_list (USER_CD, OPT_CD, ACCESS_TYPE, BRANCH_CODE, CLASS_CODE, ENT_BY, ENT_DATE, ENT_BY_IP)</v>
      </c>
      <c r="AD145" s="12" t="str">
        <f t="shared" si="35"/>
        <v>VALUES('08801547','ClientReports.aspx', 'USER', '01', '08', 'ABDUL', SYSDATE, '10.6.100.63');</v>
      </c>
      <c r="AE145" s="12" t="str">
        <f t="shared" si="36"/>
        <v>INSERT INTO sy_perm_list (USER_CD, OPT_CD, ACCESS_TYPE, BRANCH_CODE, CLASS_CODE, ENT_BY, ENT_DATE, ENT_BY_IP)</v>
      </c>
      <c r="AF145" s="12" t="str">
        <f t="shared" si="37"/>
        <v>VALUES('08801547','ClientRequests.aspx', 'USER', '01', '08', 'ABDUL', SYSDATE, '10.6.100.63');</v>
      </c>
      <c r="AG145" s="12" t="str">
        <f t="shared" si="38"/>
        <v>INSERT INTO sy_perm_list (USER_CD, OPT_CD, ACCESS_TYPE, BRANCH_CODE, CLASS_CODE, ENT_BY, ENT_DATE, ENT_BY_IP)</v>
      </c>
      <c r="AH145" s="12" t="str">
        <f t="shared" si="39"/>
        <v>VALUES('08801547','HealthLife.aspx', 'USER', '01', '08', 'ABDUL', SYSDATE, '10.6.100.63');</v>
      </c>
      <c r="AI145" s="12" t="str">
        <f t="shared" si="40"/>
        <v>INSERT INTO sy_perm_list (USER_CD, OPT_CD, ACCESS_TYPE, BRANCH_CODE, CLASS_CODE, ENT_BY, ENT_DATE, ENT_BY_IP)</v>
      </c>
      <c r="AJ145" s="12" t="str">
        <f t="shared" si="41"/>
        <v>VALUES('08801547','IpdClaim.aspx', 'USER', '01', '08', 'ABDUL', SYSDATE, '10.6.100.63');</v>
      </c>
      <c r="AK145" s="12" t="str">
        <f t="shared" si="42"/>
        <v>INSERT INTO sy_perm_list (USER_CD, OPT_CD, ACCESS_TYPE, BRANCH_CODE, CLASS_CODE, ENT_BY, ENT_DATE, ENT_BY_IP)</v>
      </c>
      <c r="AL145" s="12" t="str">
        <f t="shared" si="43"/>
        <v>VALUES('08801547','OpdClaim.aspx', 'USER', '01', '08', 'ABDUL', SYSDATE, '10.6.100.63');</v>
      </c>
      <c r="AM145" s="12" t="str">
        <f t="shared" si="44"/>
        <v>INSERT INTO sy_perm_list (USER_CD, OPT_CD, ACCESS_TYPE, BRANCH_CODE, CLASS_CODE, ENT_BY, ENT_DATE, ENT_BY_IP)</v>
      </c>
      <c r="AN145" s="12" t="str">
        <f t="shared" si="45"/>
        <v>VALUES('08801547','RequestDetails.aspx', 'USER', '01', '08', 'ABDUL', SYSDATE, '10.6.100.63');</v>
      </c>
      <c r="AO145" s="12" t="str">
        <f t="shared" si="46"/>
        <v>INSERT INTO sy_perm_list (USER_CD, OPT_CD, ACCESS_TYPE, BRANCH_CODE, CLASS_CODE, ENT_BY, ENT_DATE, ENT_BY_IP)</v>
      </c>
      <c r="AP145" s="12" t="str">
        <f t="shared" si="47"/>
        <v>VALUES('08801547','TodaysRequest.aspx', 'USER', '01', '08', 'ABDUL', SYSDATE, '10.6.100.63');</v>
      </c>
    </row>
    <row r="146" spans="1:42" s="6" customFormat="1" ht="76.5" x14ac:dyDescent="0.2">
      <c r="A146" s="4">
        <v>129</v>
      </c>
      <c r="B146" s="5" t="s">
        <v>779</v>
      </c>
      <c r="C146" s="5">
        <v>9000230</v>
      </c>
      <c r="D146" s="6" t="s">
        <v>494</v>
      </c>
      <c r="E146" s="6" t="s">
        <v>299</v>
      </c>
      <c r="F146" s="5" t="s">
        <v>287</v>
      </c>
      <c r="G146" s="6" t="s">
        <v>288</v>
      </c>
      <c r="H146" s="5" t="s">
        <v>649</v>
      </c>
      <c r="I146" s="5">
        <v>817</v>
      </c>
      <c r="J146" s="5" t="s">
        <v>548</v>
      </c>
      <c r="K146" s="6" t="s">
        <v>549</v>
      </c>
      <c r="L146" s="6" t="s">
        <v>261</v>
      </c>
      <c r="M146" s="6" t="s">
        <v>262</v>
      </c>
      <c r="N146" s="7">
        <v>44272</v>
      </c>
      <c r="O146" s="7">
        <v>44256</v>
      </c>
      <c r="P146" s="7">
        <v>44620</v>
      </c>
      <c r="Q146" s="8">
        <v>408</v>
      </c>
      <c r="R146" s="8">
        <v>650</v>
      </c>
      <c r="S146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6" s="12" t="str">
        <f t="shared" si="25"/>
        <v>VALUES('08801818','SALSOFT TECHNOLOGIES (PRIVATE) LIMITED','Salaam@123','Y','N',sysdate,'016', 'C', 'Client', 'sumer.salim@salsoft.net','01','B', '08', 'ABDUL', sysdate, '10.6.100.63', '08801818');</v>
      </c>
      <c r="U146" s="12" t="str">
        <f t="shared" si="26"/>
        <v>INSERT INTO sy_user_branches (USER_CD, BRANCH_CODE, CLASS_CODE, ENT_BY, ENT_DATE, ENT_BY_IP)</v>
      </c>
      <c r="V146" s="12" t="str">
        <f t="shared" si="27"/>
        <v>values('08801818','01', '08', 'ABDUL', sysdate, '10.6.100.63');</v>
      </c>
      <c r="W146" s="12" t="str">
        <f t="shared" si="28"/>
        <v>INSERT INTO sy_perm_list (USER_CD, OPT_CD, ACCESS_TYPE, BRANCH_CODE, CLASS_CODE, ENT_BY, ENT_DATE, ENT_BY_IP)</v>
      </c>
      <c r="X146" s="12" t="str">
        <f t="shared" si="29"/>
        <v>VALUES('08801818','ClaimComments.aspx', 'USER', '01', '08', 'ABDUL', SYSDATE, '10.6.100.63');</v>
      </c>
      <c r="Y146" s="12" t="str">
        <f t="shared" si="30"/>
        <v>INSERT INTO sy_perm_list (USER_CD, OPT_CD, ACCESS_TYPE, BRANCH_CODE, CLASS_CODE, ENT_BY, ENT_DATE, ENT_BY_IP)</v>
      </c>
      <c r="Z146" s="12" t="str">
        <f t="shared" si="31"/>
        <v>VALUES('08801818','ClaimDocs.aspx', 'USER', '01', '08', 'ABDUL', SYSDATE, '10.6.100.63');</v>
      </c>
      <c r="AA146" s="12" t="str">
        <f t="shared" si="32"/>
        <v>INSERT INTO sy_perm_list (USER_CD, OPT_CD, ACCESS_TYPE, BRANCH_CODE, CLASS_CODE, ENT_BY, ENT_DATE, ENT_BY_IP)</v>
      </c>
      <c r="AB146" s="12" t="str">
        <f t="shared" si="33"/>
        <v>VALUES('08801818','Client.aspx', 'USER', '01', '08', 'ABDUL', SYSDATE, '10.6.100.63');</v>
      </c>
      <c r="AC146" s="12" t="str">
        <f t="shared" si="34"/>
        <v>INSERT INTO sy_perm_list (USER_CD, OPT_CD, ACCESS_TYPE, BRANCH_CODE, CLASS_CODE, ENT_BY, ENT_DATE, ENT_BY_IP)</v>
      </c>
      <c r="AD146" s="12" t="str">
        <f t="shared" si="35"/>
        <v>VALUES('08801818','ClientReports.aspx', 'USER', '01', '08', 'ABDUL', SYSDATE, '10.6.100.63');</v>
      </c>
      <c r="AE146" s="12" t="str">
        <f t="shared" si="36"/>
        <v>INSERT INTO sy_perm_list (USER_CD, OPT_CD, ACCESS_TYPE, BRANCH_CODE, CLASS_CODE, ENT_BY, ENT_DATE, ENT_BY_IP)</v>
      </c>
      <c r="AF146" s="12" t="str">
        <f t="shared" si="37"/>
        <v>VALUES('08801818','ClientRequests.aspx', 'USER', '01', '08', 'ABDUL', SYSDATE, '10.6.100.63');</v>
      </c>
      <c r="AG146" s="12" t="str">
        <f t="shared" si="38"/>
        <v>INSERT INTO sy_perm_list (USER_CD, OPT_CD, ACCESS_TYPE, BRANCH_CODE, CLASS_CODE, ENT_BY, ENT_DATE, ENT_BY_IP)</v>
      </c>
      <c r="AH146" s="12" t="str">
        <f t="shared" si="39"/>
        <v>VALUES('08801818','HealthLife.aspx', 'USER', '01', '08', 'ABDUL', SYSDATE, '10.6.100.63');</v>
      </c>
      <c r="AI146" s="12" t="str">
        <f t="shared" si="40"/>
        <v>INSERT INTO sy_perm_list (USER_CD, OPT_CD, ACCESS_TYPE, BRANCH_CODE, CLASS_CODE, ENT_BY, ENT_DATE, ENT_BY_IP)</v>
      </c>
      <c r="AJ146" s="12" t="str">
        <f t="shared" si="41"/>
        <v>VALUES('08801818','IpdClaim.aspx', 'USER', '01', '08', 'ABDUL', SYSDATE, '10.6.100.63');</v>
      </c>
      <c r="AK146" s="12" t="str">
        <f t="shared" si="42"/>
        <v>INSERT INTO sy_perm_list (USER_CD, OPT_CD, ACCESS_TYPE, BRANCH_CODE, CLASS_CODE, ENT_BY, ENT_DATE, ENT_BY_IP)</v>
      </c>
      <c r="AL146" s="12" t="str">
        <f t="shared" si="43"/>
        <v>VALUES('08801818','OpdClaim.aspx', 'USER', '01', '08', 'ABDUL', SYSDATE, '10.6.100.63');</v>
      </c>
      <c r="AM146" s="12" t="str">
        <f t="shared" si="44"/>
        <v>INSERT INTO sy_perm_list (USER_CD, OPT_CD, ACCESS_TYPE, BRANCH_CODE, CLASS_CODE, ENT_BY, ENT_DATE, ENT_BY_IP)</v>
      </c>
      <c r="AN146" s="12" t="str">
        <f t="shared" si="45"/>
        <v>VALUES('08801818','RequestDetails.aspx', 'USER', '01', '08', 'ABDUL', SYSDATE, '10.6.100.63');</v>
      </c>
      <c r="AO146" s="12" t="str">
        <f t="shared" si="46"/>
        <v>INSERT INTO sy_perm_list (USER_CD, OPT_CD, ACCESS_TYPE, BRANCH_CODE, CLASS_CODE, ENT_BY, ENT_DATE, ENT_BY_IP)</v>
      </c>
      <c r="AP146" s="12" t="str">
        <f t="shared" si="47"/>
        <v>VALUES('08801818','TodaysRequest.aspx', 'USER', '01', '08', 'ABDUL', SYSDATE, '10.6.100.63');</v>
      </c>
    </row>
    <row r="147" spans="1:42" s="6" customFormat="1" ht="76.5" x14ac:dyDescent="0.2">
      <c r="A147" s="4">
        <v>130</v>
      </c>
      <c r="B147" s="5" t="s">
        <v>780</v>
      </c>
      <c r="C147" s="5">
        <v>9000248</v>
      </c>
      <c r="D147" s="6" t="s">
        <v>293</v>
      </c>
      <c r="E147" s="6" t="s">
        <v>290</v>
      </c>
      <c r="F147" s="5" t="s">
        <v>287</v>
      </c>
      <c r="G147" s="6" t="s">
        <v>288</v>
      </c>
      <c r="H147" s="5" t="s">
        <v>652</v>
      </c>
      <c r="I147" s="5">
        <v>709</v>
      </c>
      <c r="J147" s="5" t="s">
        <v>421</v>
      </c>
      <c r="K147" s="6" t="s">
        <v>422</v>
      </c>
      <c r="L147" s="6" t="s">
        <v>627</v>
      </c>
      <c r="M147" s="6" t="s">
        <v>628</v>
      </c>
      <c r="N147" s="7">
        <v>44195</v>
      </c>
      <c r="O147" s="7">
        <v>44196</v>
      </c>
      <c r="P147" s="7">
        <v>44561</v>
      </c>
      <c r="Q147" s="8">
        <v>33</v>
      </c>
      <c r="R147" s="8">
        <v>53</v>
      </c>
      <c r="S147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7" s="12" t="str">
        <f t="shared" si="25"/>
        <v>VALUES('08801150','SAUFIK','Salaam@123','Y','N',sysdate,'016', 'C', 'Client', 'hr@saufik.com','01','B', '08', 'ABDUL', sysdate, '10.6.100.63', '08801150');</v>
      </c>
      <c r="U147" s="12" t="str">
        <f t="shared" si="26"/>
        <v>INSERT INTO sy_user_branches (USER_CD, BRANCH_CODE, CLASS_CODE, ENT_BY, ENT_DATE, ENT_BY_IP)</v>
      </c>
      <c r="V147" s="12" t="str">
        <f t="shared" si="27"/>
        <v>values('08801150','01', '08', 'ABDUL', sysdate, '10.6.100.63');</v>
      </c>
      <c r="W147" s="12" t="str">
        <f t="shared" si="28"/>
        <v>INSERT INTO sy_perm_list (USER_CD, OPT_CD, ACCESS_TYPE, BRANCH_CODE, CLASS_CODE, ENT_BY, ENT_DATE, ENT_BY_IP)</v>
      </c>
      <c r="X147" s="12" t="str">
        <f t="shared" si="29"/>
        <v>VALUES('08801150','ClaimComments.aspx', 'USER', '01', '08', 'ABDUL', SYSDATE, '10.6.100.63');</v>
      </c>
      <c r="Y147" s="12" t="str">
        <f t="shared" si="30"/>
        <v>INSERT INTO sy_perm_list (USER_CD, OPT_CD, ACCESS_TYPE, BRANCH_CODE, CLASS_CODE, ENT_BY, ENT_DATE, ENT_BY_IP)</v>
      </c>
      <c r="Z147" s="12" t="str">
        <f t="shared" si="31"/>
        <v>VALUES('08801150','ClaimDocs.aspx', 'USER', '01', '08', 'ABDUL', SYSDATE, '10.6.100.63');</v>
      </c>
      <c r="AA147" s="12" t="str">
        <f t="shared" si="32"/>
        <v>INSERT INTO sy_perm_list (USER_CD, OPT_CD, ACCESS_TYPE, BRANCH_CODE, CLASS_CODE, ENT_BY, ENT_DATE, ENT_BY_IP)</v>
      </c>
      <c r="AB147" s="12" t="str">
        <f t="shared" si="33"/>
        <v>VALUES('08801150','Client.aspx', 'USER', '01', '08', 'ABDUL', SYSDATE, '10.6.100.63');</v>
      </c>
      <c r="AC147" s="12" t="str">
        <f t="shared" si="34"/>
        <v>INSERT INTO sy_perm_list (USER_CD, OPT_CD, ACCESS_TYPE, BRANCH_CODE, CLASS_CODE, ENT_BY, ENT_DATE, ENT_BY_IP)</v>
      </c>
      <c r="AD147" s="12" t="str">
        <f t="shared" si="35"/>
        <v>VALUES('08801150','ClientReports.aspx', 'USER', '01', '08', 'ABDUL', SYSDATE, '10.6.100.63');</v>
      </c>
      <c r="AE147" s="12" t="str">
        <f t="shared" si="36"/>
        <v>INSERT INTO sy_perm_list (USER_CD, OPT_CD, ACCESS_TYPE, BRANCH_CODE, CLASS_CODE, ENT_BY, ENT_DATE, ENT_BY_IP)</v>
      </c>
      <c r="AF147" s="12" t="str">
        <f t="shared" si="37"/>
        <v>VALUES('08801150','ClientRequests.aspx', 'USER', '01', '08', 'ABDUL', SYSDATE, '10.6.100.63');</v>
      </c>
      <c r="AG147" s="12" t="str">
        <f t="shared" si="38"/>
        <v>INSERT INTO sy_perm_list (USER_CD, OPT_CD, ACCESS_TYPE, BRANCH_CODE, CLASS_CODE, ENT_BY, ENT_DATE, ENT_BY_IP)</v>
      </c>
      <c r="AH147" s="12" t="str">
        <f t="shared" si="39"/>
        <v>VALUES('08801150','HealthLife.aspx', 'USER', '01', '08', 'ABDUL', SYSDATE, '10.6.100.63');</v>
      </c>
      <c r="AI147" s="12" t="str">
        <f t="shared" si="40"/>
        <v>INSERT INTO sy_perm_list (USER_CD, OPT_CD, ACCESS_TYPE, BRANCH_CODE, CLASS_CODE, ENT_BY, ENT_DATE, ENT_BY_IP)</v>
      </c>
      <c r="AJ147" s="12" t="str">
        <f t="shared" si="41"/>
        <v>VALUES('08801150','IpdClaim.aspx', 'USER', '01', '08', 'ABDUL', SYSDATE, '10.6.100.63');</v>
      </c>
      <c r="AK147" s="12" t="str">
        <f t="shared" si="42"/>
        <v>INSERT INTO sy_perm_list (USER_CD, OPT_CD, ACCESS_TYPE, BRANCH_CODE, CLASS_CODE, ENT_BY, ENT_DATE, ENT_BY_IP)</v>
      </c>
      <c r="AL147" s="12" t="str">
        <f t="shared" si="43"/>
        <v>VALUES('08801150','OpdClaim.aspx', 'USER', '01', '08', 'ABDUL', SYSDATE, '10.6.100.63');</v>
      </c>
      <c r="AM147" s="12" t="str">
        <f t="shared" si="44"/>
        <v>INSERT INTO sy_perm_list (USER_CD, OPT_CD, ACCESS_TYPE, BRANCH_CODE, CLASS_CODE, ENT_BY, ENT_DATE, ENT_BY_IP)</v>
      </c>
      <c r="AN147" s="12" t="str">
        <f t="shared" si="45"/>
        <v>VALUES('08801150','RequestDetails.aspx', 'USER', '01', '08', 'ABDUL', SYSDATE, '10.6.100.63');</v>
      </c>
      <c r="AO147" s="12" t="str">
        <f t="shared" si="46"/>
        <v>INSERT INTO sy_perm_list (USER_CD, OPT_CD, ACCESS_TYPE, BRANCH_CODE, CLASS_CODE, ENT_BY, ENT_DATE, ENT_BY_IP)</v>
      </c>
      <c r="AP147" s="12" t="str">
        <f t="shared" si="47"/>
        <v>VALUES('08801150','TodaysRequest.aspx', 'USER', '01', '08', 'ABDUL', SYSDATE, '10.6.100.63');</v>
      </c>
    </row>
    <row r="148" spans="1:42" s="6" customFormat="1" ht="76.5" x14ac:dyDescent="0.2">
      <c r="A148" s="4">
        <v>131</v>
      </c>
      <c r="B148" s="5" t="s">
        <v>781</v>
      </c>
      <c r="C148" s="5">
        <v>9000218</v>
      </c>
      <c r="D148" s="6" t="s">
        <v>310</v>
      </c>
      <c r="E148" s="6" t="s">
        <v>299</v>
      </c>
      <c r="F148" s="5" t="s">
        <v>287</v>
      </c>
      <c r="G148" s="6" t="s">
        <v>288</v>
      </c>
      <c r="H148" s="5" t="s">
        <v>649</v>
      </c>
      <c r="I148" s="5">
        <v>713</v>
      </c>
      <c r="J148" s="5" t="s">
        <v>427</v>
      </c>
      <c r="K148" s="6" t="s">
        <v>75</v>
      </c>
      <c r="L148" s="6" t="s">
        <v>99</v>
      </c>
      <c r="M148" s="6" t="s">
        <v>38</v>
      </c>
      <c r="N148" s="7">
        <v>44195</v>
      </c>
      <c r="O148" s="7">
        <v>44196</v>
      </c>
      <c r="P148" s="7">
        <v>44561</v>
      </c>
      <c r="Q148" s="8">
        <v>709</v>
      </c>
      <c r="R148" s="8">
        <v>1608</v>
      </c>
      <c r="S148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8" s="12" t="str">
        <f t="shared" si="25"/>
        <v>VALUES('08801083','SCILIFE PHARMA (PVT) LIMITED','Salaam@123','Y','N',sysdate,'016', 'C', 'Client', 'sohail.hashmi@scilife.biz','01','B', '08', 'ABDUL', sysdate, '10.6.100.63', '08801083');</v>
      </c>
      <c r="U148" s="12" t="str">
        <f t="shared" si="26"/>
        <v>INSERT INTO sy_user_branches (USER_CD, BRANCH_CODE, CLASS_CODE, ENT_BY, ENT_DATE, ENT_BY_IP)</v>
      </c>
      <c r="V148" s="12" t="str">
        <f t="shared" si="27"/>
        <v>values('08801083','01', '08', 'ABDUL', sysdate, '10.6.100.63');</v>
      </c>
      <c r="W148" s="12" t="str">
        <f t="shared" si="28"/>
        <v>INSERT INTO sy_perm_list (USER_CD, OPT_CD, ACCESS_TYPE, BRANCH_CODE, CLASS_CODE, ENT_BY, ENT_DATE, ENT_BY_IP)</v>
      </c>
      <c r="X148" s="12" t="str">
        <f t="shared" si="29"/>
        <v>VALUES('08801083','ClaimComments.aspx', 'USER', '01', '08', 'ABDUL', SYSDATE, '10.6.100.63');</v>
      </c>
      <c r="Y148" s="12" t="str">
        <f t="shared" si="30"/>
        <v>INSERT INTO sy_perm_list (USER_CD, OPT_CD, ACCESS_TYPE, BRANCH_CODE, CLASS_CODE, ENT_BY, ENT_DATE, ENT_BY_IP)</v>
      </c>
      <c r="Z148" s="12" t="str">
        <f t="shared" si="31"/>
        <v>VALUES('08801083','ClaimDocs.aspx', 'USER', '01', '08', 'ABDUL', SYSDATE, '10.6.100.63');</v>
      </c>
      <c r="AA148" s="12" t="str">
        <f t="shared" si="32"/>
        <v>INSERT INTO sy_perm_list (USER_CD, OPT_CD, ACCESS_TYPE, BRANCH_CODE, CLASS_CODE, ENT_BY, ENT_DATE, ENT_BY_IP)</v>
      </c>
      <c r="AB148" s="12" t="str">
        <f t="shared" si="33"/>
        <v>VALUES('08801083','Client.aspx', 'USER', '01', '08', 'ABDUL', SYSDATE, '10.6.100.63');</v>
      </c>
      <c r="AC148" s="12" t="str">
        <f t="shared" si="34"/>
        <v>INSERT INTO sy_perm_list (USER_CD, OPT_CD, ACCESS_TYPE, BRANCH_CODE, CLASS_CODE, ENT_BY, ENT_DATE, ENT_BY_IP)</v>
      </c>
      <c r="AD148" s="12" t="str">
        <f t="shared" si="35"/>
        <v>VALUES('08801083','ClientReports.aspx', 'USER', '01', '08', 'ABDUL', SYSDATE, '10.6.100.63');</v>
      </c>
      <c r="AE148" s="12" t="str">
        <f t="shared" si="36"/>
        <v>INSERT INTO sy_perm_list (USER_CD, OPT_CD, ACCESS_TYPE, BRANCH_CODE, CLASS_CODE, ENT_BY, ENT_DATE, ENT_BY_IP)</v>
      </c>
      <c r="AF148" s="12" t="str">
        <f t="shared" si="37"/>
        <v>VALUES('08801083','ClientRequests.aspx', 'USER', '01', '08', 'ABDUL', SYSDATE, '10.6.100.63');</v>
      </c>
      <c r="AG148" s="12" t="str">
        <f t="shared" si="38"/>
        <v>INSERT INTO sy_perm_list (USER_CD, OPT_CD, ACCESS_TYPE, BRANCH_CODE, CLASS_CODE, ENT_BY, ENT_DATE, ENT_BY_IP)</v>
      </c>
      <c r="AH148" s="12" t="str">
        <f t="shared" si="39"/>
        <v>VALUES('08801083','HealthLife.aspx', 'USER', '01', '08', 'ABDUL', SYSDATE, '10.6.100.63');</v>
      </c>
      <c r="AI148" s="12" t="str">
        <f t="shared" si="40"/>
        <v>INSERT INTO sy_perm_list (USER_CD, OPT_CD, ACCESS_TYPE, BRANCH_CODE, CLASS_CODE, ENT_BY, ENT_DATE, ENT_BY_IP)</v>
      </c>
      <c r="AJ148" s="12" t="str">
        <f t="shared" si="41"/>
        <v>VALUES('08801083','IpdClaim.aspx', 'USER', '01', '08', 'ABDUL', SYSDATE, '10.6.100.63');</v>
      </c>
      <c r="AK148" s="12" t="str">
        <f t="shared" si="42"/>
        <v>INSERT INTO sy_perm_list (USER_CD, OPT_CD, ACCESS_TYPE, BRANCH_CODE, CLASS_CODE, ENT_BY, ENT_DATE, ENT_BY_IP)</v>
      </c>
      <c r="AL148" s="12" t="str">
        <f t="shared" si="43"/>
        <v>VALUES('08801083','OpdClaim.aspx', 'USER', '01', '08', 'ABDUL', SYSDATE, '10.6.100.63');</v>
      </c>
      <c r="AM148" s="12" t="str">
        <f t="shared" si="44"/>
        <v>INSERT INTO sy_perm_list (USER_CD, OPT_CD, ACCESS_TYPE, BRANCH_CODE, CLASS_CODE, ENT_BY, ENT_DATE, ENT_BY_IP)</v>
      </c>
      <c r="AN148" s="12" t="str">
        <f t="shared" si="45"/>
        <v>VALUES('08801083','RequestDetails.aspx', 'USER', '01', '08', 'ABDUL', SYSDATE, '10.6.100.63');</v>
      </c>
      <c r="AO148" s="12" t="str">
        <f t="shared" si="46"/>
        <v>INSERT INTO sy_perm_list (USER_CD, OPT_CD, ACCESS_TYPE, BRANCH_CODE, CLASS_CODE, ENT_BY, ENT_DATE, ENT_BY_IP)</v>
      </c>
      <c r="AP148" s="12" t="str">
        <f t="shared" si="47"/>
        <v>VALUES('08801083','TodaysRequest.aspx', 'USER', '01', '08', 'ABDUL', SYSDATE, '10.6.100.63');</v>
      </c>
    </row>
    <row r="149" spans="1:42" s="6" customFormat="1" ht="76.5" x14ac:dyDescent="0.2">
      <c r="A149" s="4">
        <v>132</v>
      </c>
      <c r="B149" s="5" t="s">
        <v>782</v>
      </c>
      <c r="C149" s="5">
        <v>9000138</v>
      </c>
      <c r="D149" s="6" t="s">
        <v>390</v>
      </c>
      <c r="E149" s="6" t="s">
        <v>299</v>
      </c>
      <c r="F149" s="5" t="s">
        <v>287</v>
      </c>
      <c r="G149" s="6" t="s">
        <v>288</v>
      </c>
      <c r="H149" s="5" t="s">
        <v>650</v>
      </c>
      <c r="I149" s="5">
        <v>672</v>
      </c>
      <c r="J149" s="5" t="s">
        <v>396</v>
      </c>
      <c r="K149" s="6" t="s">
        <v>397</v>
      </c>
      <c r="L149" s="6" t="s">
        <v>560</v>
      </c>
      <c r="M149" s="6" t="s">
        <v>564</v>
      </c>
      <c r="N149" s="7">
        <v>44161</v>
      </c>
      <c r="O149" s="7">
        <v>44140</v>
      </c>
      <c r="P149" s="7">
        <v>44377</v>
      </c>
      <c r="Q149" s="8">
        <v>24</v>
      </c>
      <c r="R149" s="8">
        <v>87</v>
      </c>
      <c r="S149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49" s="12" t="str">
        <f t="shared" si="25"/>
        <v>VALUES('08004139','SHABBIR TEXTILE MILLS','Salaam@123','Y','N',sysdate,'016', 'C', 'Client', 'imran@anamweaving.com','01','B', '08', 'ABDUL', sysdate, '10.6.100.63', '08004139');</v>
      </c>
      <c r="U149" s="12" t="str">
        <f t="shared" si="26"/>
        <v>INSERT INTO sy_user_branches (USER_CD, BRANCH_CODE, CLASS_CODE, ENT_BY, ENT_DATE, ENT_BY_IP)</v>
      </c>
      <c r="V149" s="12" t="str">
        <f t="shared" si="27"/>
        <v>values('08004139','01', '08', 'ABDUL', sysdate, '10.6.100.63');</v>
      </c>
      <c r="W149" s="12" t="str">
        <f t="shared" si="28"/>
        <v>INSERT INTO sy_perm_list (USER_CD, OPT_CD, ACCESS_TYPE, BRANCH_CODE, CLASS_CODE, ENT_BY, ENT_DATE, ENT_BY_IP)</v>
      </c>
      <c r="X149" s="12" t="str">
        <f t="shared" si="29"/>
        <v>VALUES('08004139','ClaimComments.aspx', 'USER', '01', '08', 'ABDUL', SYSDATE, '10.6.100.63');</v>
      </c>
      <c r="Y149" s="12" t="str">
        <f t="shared" si="30"/>
        <v>INSERT INTO sy_perm_list (USER_CD, OPT_CD, ACCESS_TYPE, BRANCH_CODE, CLASS_CODE, ENT_BY, ENT_DATE, ENT_BY_IP)</v>
      </c>
      <c r="Z149" s="12" t="str">
        <f t="shared" si="31"/>
        <v>VALUES('08004139','ClaimDocs.aspx', 'USER', '01', '08', 'ABDUL', SYSDATE, '10.6.100.63');</v>
      </c>
      <c r="AA149" s="12" t="str">
        <f t="shared" si="32"/>
        <v>INSERT INTO sy_perm_list (USER_CD, OPT_CD, ACCESS_TYPE, BRANCH_CODE, CLASS_CODE, ENT_BY, ENT_DATE, ENT_BY_IP)</v>
      </c>
      <c r="AB149" s="12" t="str">
        <f t="shared" si="33"/>
        <v>VALUES('08004139','Client.aspx', 'USER', '01', '08', 'ABDUL', SYSDATE, '10.6.100.63');</v>
      </c>
      <c r="AC149" s="12" t="str">
        <f t="shared" si="34"/>
        <v>INSERT INTO sy_perm_list (USER_CD, OPT_CD, ACCESS_TYPE, BRANCH_CODE, CLASS_CODE, ENT_BY, ENT_DATE, ENT_BY_IP)</v>
      </c>
      <c r="AD149" s="12" t="str">
        <f t="shared" si="35"/>
        <v>VALUES('08004139','ClientReports.aspx', 'USER', '01', '08', 'ABDUL', SYSDATE, '10.6.100.63');</v>
      </c>
      <c r="AE149" s="12" t="str">
        <f t="shared" si="36"/>
        <v>INSERT INTO sy_perm_list (USER_CD, OPT_CD, ACCESS_TYPE, BRANCH_CODE, CLASS_CODE, ENT_BY, ENT_DATE, ENT_BY_IP)</v>
      </c>
      <c r="AF149" s="12" t="str">
        <f t="shared" si="37"/>
        <v>VALUES('08004139','ClientRequests.aspx', 'USER', '01', '08', 'ABDUL', SYSDATE, '10.6.100.63');</v>
      </c>
      <c r="AG149" s="12" t="str">
        <f t="shared" si="38"/>
        <v>INSERT INTO sy_perm_list (USER_CD, OPT_CD, ACCESS_TYPE, BRANCH_CODE, CLASS_CODE, ENT_BY, ENT_DATE, ENT_BY_IP)</v>
      </c>
      <c r="AH149" s="12" t="str">
        <f t="shared" si="39"/>
        <v>VALUES('08004139','HealthLife.aspx', 'USER', '01', '08', 'ABDUL', SYSDATE, '10.6.100.63');</v>
      </c>
      <c r="AI149" s="12" t="str">
        <f t="shared" si="40"/>
        <v>INSERT INTO sy_perm_list (USER_CD, OPT_CD, ACCESS_TYPE, BRANCH_CODE, CLASS_CODE, ENT_BY, ENT_DATE, ENT_BY_IP)</v>
      </c>
      <c r="AJ149" s="12" t="str">
        <f t="shared" si="41"/>
        <v>VALUES('08004139','IpdClaim.aspx', 'USER', '01', '08', 'ABDUL', SYSDATE, '10.6.100.63');</v>
      </c>
      <c r="AK149" s="12" t="str">
        <f t="shared" si="42"/>
        <v>INSERT INTO sy_perm_list (USER_CD, OPT_CD, ACCESS_TYPE, BRANCH_CODE, CLASS_CODE, ENT_BY, ENT_DATE, ENT_BY_IP)</v>
      </c>
      <c r="AL149" s="12" t="str">
        <f t="shared" si="43"/>
        <v>VALUES('08004139','OpdClaim.aspx', 'USER', '01', '08', 'ABDUL', SYSDATE, '10.6.100.63');</v>
      </c>
      <c r="AM149" s="12" t="str">
        <f t="shared" si="44"/>
        <v>INSERT INTO sy_perm_list (USER_CD, OPT_CD, ACCESS_TYPE, BRANCH_CODE, CLASS_CODE, ENT_BY, ENT_DATE, ENT_BY_IP)</v>
      </c>
      <c r="AN149" s="12" t="str">
        <f t="shared" si="45"/>
        <v>VALUES('08004139','RequestDetails.aspx', 'USER', '01', '08', 'ABDUL', SYSDATE, '10.6.100.63');</v>
      </c>
      <c r="AO149" s="12" t="str">
        <f t="shared" si="46"/>
        <v>INSERT INTO sy_perm_list (USER_CD, OPT_CD, ACCESS_TYPE, BRANCH_CODE, CLASS_CODE, ENT_BY, ENT_DATE, ENT_BY_IP)</v>
      </c>
      <c r="AP149" s="12" t="str">
        <f t="shared" si="47"/>
        <v>VALUES('08004139','TodaysRequest.aspx', 'USER', '01', '08', 'ABDUL', SYSDATE, '10.6.100.63');</v>
      </c>
    </row>
    <row r="150" spans="1:42" s="6" customFormat="1" ht="76.5" x14ac:dyDescent="0.2">
      <c r="A150" s="4">
        <v>133</v>
      </c>
      <c r="B150" s="5" t="s">
        <v>783</v>
      </c>
      <c r="C150" s="5">
        <v>9000242</v>
      </c>
      <c r="D150" s="6" t="s">
        <v>385</v>
      </c>
      <c r="E150" s="6" t="s">
        <v>290</v>
      </c>
      <c r="F150" s="5" t="s">
        <v>287</v>
      </c>
      <c r="G150" s="6" t="s">
        <v>288</v>
      </c>
      <c r="H150" s="5" t="s">
        <v>649</v>
      </c>
      <c r="I150" s="5">
        <v>770</v>
      </c>
      <c r="J150" s="5" t="s">
        <v>488</v>
      </c>
      <c r="K150" s="6" t="s">
        <v>489</v>
      </c>
      <c r="L150" s="6" t="s">
        <v>629</v>
      </c>
      <c r="M150" s="6" t="s">
        <v>630</v>
      </c>
      <c r="N150" s="7">
        <v>44244</v>
      </c>
      <c r="O150" s="7">
        <v>44206</v>
      </c>
      <c r="P150" s="7">
        <v>44570</v>
      </c>
      <c r="Q150" s="8">
        <v>12</v>
      </c>
      <c r="R150" s="8">
        <v>22</v>
      </c>
      <c r="S150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50" s="12" t="str">
        <f t="shared" si="25"/>
        <v>VALUES('08801774','SIDDIQUI ASSOCIATES','Salaam@123','Y','N',sysdate,'016', 'C', 'Client', 'rida@clearstonegroup.com.pk','01','B', '08', 'ABDUL', sysdate, '10.6.100.63', '08801774');</v>
      </c>
      <c r="U150" s="12" t="str">
        <f t="shared" si="26"/>
        <v>INSERT INTO sy_user_branches (USER_CD, BRANCH_CODE, CLASS_CODE, ENT_BY, ENT_DATE, ENT_BY_IP)</v>
      </c>
      <c r="V150" s="12" t="str">
        <f t="shared" si="27"/>
        <v>values('08801774','01', '08', 'ABDUL', sysdate, '10.6.100.63');</v>
      </c>
      <c r="W150" s="12" t="str">
        <f t="shared" si="28"/>
        <v>INSERT INTO sy_perm_list (USER_CD, OPT_CD, ACCESS_TYPE, BRANCH_CODE, CLASS_CODE, ENT_BY, ENT_DATE, ENT_BY_IP)</v>
      </c>
      <c r="X150" s="12" t="str">
        <f t="shared" si="29"/>
        <v>VALUES('08801774','ClaimComments.aspx', 'USER', '01', '08', 'ABDUL', SYSDATE, '10.6.100.63');</v>
      </c>
      <c r="Y150" s="12" t="str">
        <f t="shared" si="30"/>
        <v>INSERT INTO sy_perm_list (USER_CD, OPT_CD, ACCESS_TYPE, BRANCH_CODE, CLASS_CODE, ENT_BY, ENT_DATE, ENT_BY_IP)</v>
      </c>
      <c r="Z150" s="12" t="str">
        <f t="shared" si="31"/>
        <v>VALUES('08801774','ClaimDocs.aspx', 'USER', '01', '08', 'ABDUL', SYSDATE, '10.6.100.63');</v>
      </c>
      <c r="AA150" s="12" t="str">
        <f t="shared" si="32"/>
        <v>INSERT INTO sy_perm_list (USER_CD, OPT_CD, ACCESS_TYPE, BRANCH_CODE, CLASS_CODE, ENT_BY, ENT_DATE, ENT_BY_IP)</v>
      </c>
      <c r="AB150" s="12" t="str">
        <f t="shared" si="33"/>
        <v>VALUES('08801774','Client.aspx', 'USER', '01', '08', 'ABDUL', SYSDATE, '10.6.100.63');</v>
      </c>
      <c r="AC150" s="12" t="str">
        <f t="shared" si="34"/>
        <v>INSERT INTO sy_perm_list (USER_CD, OPT_CD, ACCESS_TYPE, BRANCH_CODE, CLASS_CODE, ENT_BY, ENT_DATE, ENT_BY_IP)</v>
      </c>
      <c r="AD150" s="12" t="str">
        <f t="shared" si="35"/>
        <v>VALUES('08801774','ClientReports.aspx', 'USER', '01', '08', 'ABDUL', SYSDATE, '10.6.100.63');</v>
      </c>
      <c r="AE150" s="12" t="str">
        <f t="shared" si="36"/>
        <v>INSERT INTO sy_perm_list (USER_CD, OPT_CD, ACCESS_TYPE, BRANCH_CODE, CLASS_CODE, ENT_BY, ENT_DATE, ENT_BY_IP)</v>
      </c>
      <c r="AF150" s="12" t="str">
        <f t="shared" si="37"/>
        <v>VALUES('08801774','ClientRequests.aspx', 'USER', '01', '08', 'ABDUL', SYSDATE, '10.6.100.63');</v>
      </c>
      <c r="AG150" s="12" t="str">
        <f t="shared" si="38"/>
        <v>INSERT INTO sy_perm_list (USER_CD, OPT_CD, ACCESS_TYPE, BRANCH_CODE, CLASS_CODE, ENT_BY, ENT_DATE, ENT_BY_IP)</v>
      </c>
      <c r="AH150" s="12" t="str">
        <f t="shared" si="39"/>
        <v>VALUES('08801774','HealthLife.aspx', 'USER', '01', '08', 'ABDUL', SYSDATE, '10.6.100.63');</v>
      </c>
      <c r="AI150" s="12" t="str">
        <f t="shared" si="40"/>
        <v>INSERT INTO sy_perm_list (USER_CD, OPT_CD, ACCESS_TYPE, BRANCH_CODE, CLASS_CODE, ENT_BY, ENT_DATE, ENT_BY_IP)</v>
      </c>
      <c r="AJ150" s="12" t="str">
        <f t="shared" si="41"/>
        <v>VALUES('08801774','IpdClaim.aspx', 'USER', '01', '08', 'ABDUL', SYSDATE, '10.6.100.63');</v>
      </c>
      <c r="AK150" s="12" t="str">
        <f t="shared" si="42"/>
        <v>INSERT INTO sy_perm_list (USER_CD, OPT_CD, ACCESS_TYPE, BRANCH_CODE, CLASS_CODE, ENT_BY, ENT_DATE, ENT_BY_IP)</v>
      </c>
      <c r="AL150" s="12" t="str">
        <f t="shared" si="43"/>
        <v>VALUES('08801774','OpdClaim.aspx', 'USER', '01', '08', 'ABDUL', SYSDATE, '10.6.100.63');</v>
      </c>
      <c r="AM150" s="12" t="str">
        <f t="shared" si="44"/>
        <v>INSERT INTO sy_perm_list (USER_CD, OPT_CD, ACCESS_TYPE, BRANCH_CODE, CLASS_CODE, ENT_BY, ENT_DATE, ENT_BY_IP)</v>
      </c>
      <c r="AN150" s="12" t="str">
        <f t="shared" si="45"/>
        <v>VALUES('08801774','RequestDetails.aspx', 'USER', '01', '08', 'ABDUL', SYSDATE, '10.6.100.63');</v>
      </c>
      <c r="AO150" s="12" t="str">
        <f t="shared" si="46"/>
        <v>INSERT INTO sy_perm_list (USER_CD, OPT_CD, ACCESS_TYPE, BRANCH_CODE, CLASS_CODE, ENT_BY, ENT_DATE, ENT_BY_IP)</v>
      </c>
      <c r="AP150" s="12" t="str">
        <f t="shared" si="47"/>
        <v>VALUES('08801774','TodaysRequest.aspx', 'USER', '01', '08', 'ABDUL', SYSDATE, '10.6.100.63');</v>
      </c>
    </row>
    <row r="151" spans="1:42" s="6" customFormat="1" ht="76.5" x14ac:dyDescent="0.2">
      <c r="A151" s="4">
        <v>134</v>
      </c>
      <c r="B151" s="5" t="s">
        <v>784</v>
      </c>
      <c r="C151" s="5">
        <v>9000244</v>
      </c>
      <c r="D151" s="6" t="s">
        <v>337</v>
      </c>
      <c r="E151" s="6" t="s">
        <v>290</v>
      </c>
      <c r="F151" s="5" t="s">
        <v>287</v>
      </c>
      <c r="G151" s="6" t="s">
        <v>288</v>
      </c>
      <c r="H151" s="5" t="s">
        <v>649</v>
      </c>
      <c r="I151" s="5">
        <v>747</v>
      </c>
      <c r="J151" s="5" t="s">
        <v>460</v>
      </c>
      <c r="K151" s="6" t="s">
        <v>72</v>
      </c>
      <c r="L151" s="6" t="s">
        <v>138</v>
      </c>
      <c r="M151" s="6" t="s">
        <v>816</v>
      </c>
      <c r="N151" s="7">
        <v>44224</v>
      </c>
      <c r="O151" s="7">
        <v>44195</v>
      </c>
      <c r="P151" s="7">
        <v>44559</v>
      </c>
      <c r="Q151" s="8">
        <v>38</v>
      </c>
      <c r="R151" s="8">
        <v>98</v>
      </c>
      <c r="S151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51" s="12" t="str">
        <f t="shared" si="25"/>
        <v>VALUES('08801028','SKYLINK DISTRIBUTION','Salaam@123','Y','N',sysdate,'016', 'C', 'Client', 'uruba@skylinkdistribution.com','01','B', '08', 'ABDUL', sysdate, '10.6.100.63', '08801028');</v>
      </c>
      <c r="U151" s="12" t="str">
        <f t="shared" si="26"/>
        <v>INSERT INTO sy_user_branches (USER_CD, BRANCH_CODE, CLASS_CODE, ENT_BY, ENT_DATE, ENT_BY_IP)</v>
      </c>
      <c r="V151" s="12" t="str">
        <f t="shared" si="27"/>
        <v>values('08801028','01', '08', 'ABDUL', sysdate, '10.6.100.63');</v>
      </c>
      <c r="W151" s="12" t="str">
        <f t="shared" si="28"/>
        <v>INSERT INTO sy_perm_list (USER_CD, OPT_CD, ACCESS_TYPE, BRANCH_CODE, CLASS_CODE, ENT_BY, ENT_DATE, ENT_BY_IP)</v>
      </c>
      <c r="X151" s="12" t="str">
        <f t="shared" si="29"/>
        <v>VALUES('08801028','ClaimComments.aspx', 'USER', '01', '08', 'ABDUL', SYSDATE, '10.6.100.63');</v>
      </c>
      <c r="Y151" s="12" t="str">
        <f t="shared" si="30"/>
        <v>INSERT INTO sy_perm_list (USER_CD, OPT_CD, ACCESS_TYPE, BRANCH_CODE, CLASS_CODE, ENT_BY, ENT_DATE, ENT_BY_IP)</v>
      </c>
      <c r="Z151" s="12" t="str">
        <f t="shared" si="31"/>
        <v>VALUES('08801028','ClaimDocs.aspx', 'USER', '01', '08', 'ABDUL', SYSDATE, '10.6.100.63');</v>
      </c>
      <c r="AA151" s="12" t="str">
        <f t="shared" si="32"/>
        <v>INSERT INTO sy_perm_list (USER_CD, OPT_CD, ACCESS_TYPE, BRANCH_CODE, CLASS_CODE, ENT_BY, ENT_DATE, ENT_BY_IP)</v>
      </c>
      <c r="AB151" s="12" t="str">
        <f t="shared" si="33"/>
        <v>VALUES('08801028','Client.aspx', 'USER', '01', '08', 'ABDUL', SYSDATE, '10.6.100.63');</v>
      </c>
      <c r="AC151" s="12" t="str">
        <f t="shared" si="34"/>
        <v>INSERT INTO sy_perm_list (USER_CD, OPT_CD, ACCESS_TYPE, BRANCH_CODE, CLASS_CODE, ENT_BY, ENT_DATE, ENT_BY_IP)</v>
      </c>
      <c r="AD151" s="12" t="str">
        <f t="shared" si="35"/>
        <v>VALUES('08801028','ClientReports.aspx', 'USER', '01', '08', 'ABDUL', SYSDATE, '10.6.100.63');</v>
      </c>
      <c r="AE151" s="12" t="str">
        <f t="shared" si="36"/>
        <v>INSERT INTO sy_perm_list (USER_CD, OPT_CD, ACCESS_TYPE, BRANCH_CODE, CLASS_CODE, ENT_BY, ENT_DATE, ENT_BY_IP)</v>
      </c>
      <c r="AF151" s="12" t="str">
        <f t="shared" si="37"/>
        <v>VALUES('08801028','ClientRequests.aspx', 'USER', '01', '08', 'ABDUL', SYSDATE, '10.6.100.63');</v>
      </c>
      <c r="AG151" s="12" t="str">
        <f t="shared" si="38"/>
        <v>INSERT INTO sy_perm_list (USER_CD, OPT_CD, ACCESS_TYPE, BRANCH_CODE, CLASS_CODE, ENT_BY, ENT_DATE, ENT_BY_IP)</v>
      </c>
      <c r="AH151" s="12" t="str">
        <f t="shared" si="39"/>
        <v>VALUES('08801028','HealthLife.aspx', 'USER', '01', '08', 'ABDUL', SYSDATE, '10.6.100.63');</v>
      </c>
      <c r="AI151" s="12" t="str">
        <f t="shared" si="40"/>
        <v>INSERT INTO sy_perm_list (USER_CD, OPT_CD, ACCESS_TYPE, BRANCH_CODE, CLASS_CODE, ENT_BY, ENT_DATE, ENT_BY_IP)</v>
      </c>
      <c r="AJ151" s="12" t="str">
        <f t="shared" si="41"/>
        <v>VALUES('08801028','IpdClaim.aspx', 'USER', '01', '08', 'ABDUL', SYSDATE, '10.6.100.63');</v>
      </c>
      <c r="AK151" s="12" t="str">
        <f t="shared" si="42"/>
        <v>INSERT INTO sy_perm_list (USER_CD, OPT_CD, ACCESS_TYPE, BRANCH_CODE, CLASS_CODE, ENT_BY, ENT_DATE, ENT_BY_IP)</v>
      </c>
      <c r="AL151" s="12" t="str">
        <f t="shared" si="43"/>
        <v>VALUES('08801028','OpdClaim.aspx', 'USER', '01', '08', 'ABDUL', SYSDATE, '10.6.100.63');</v>
      </c>
      <c r="AM151" s="12" t="str">
        <f t="shared" si="44"/>
        <v>INSERT INTO sy_perm_list (USER_CD, OPT_CD, ACCESS_TYPE, BRANCH_CODE, CLASS_CODE, ENT_BY, ENT_DATE, ENT_BY_IP)</v>
      </c>
      <c r="AN151" s="12" t="str">
        <f t="shared" si="45"/>
        <v>VALUES('08801028','RequestDetails.aspx', 'USER', '01', '08', 'ABDUL', SYSDATE, '10.6.100.63');</v>
      </c>
      <c r="AO151" s="12" t="str">
        <f t="shared" si="46"/>
        <v>INSERT INTO sy_perm_list (USER_CD, OPT_CD, ACCESS_TYPE, BRANCH_CODE, CLASS_CODE, ENT_BY, ENT_DATE, ENT_BY_IP)</v>
      </c>
      <c r="AP151" s="12" t="str">
        <f t="shared" si="47"/>
        <v>VALUES('08801028','TodaysRequest.aspx', 'USER', '01', '08', 'ABDUL', SYSDATE, '10.6.100.63');</v>
      </c>
    </row>
    <row r="152" spans="1:42" s="6" customFormat="1" ht="76.5" x14ac:dyDescent="0.2">
      <c r="A152" s="4">
        <v>135</v>
      </c>
      <c r="B152" s="5" t="s">
        <v>785</v>
      </c>
      <c r="C152" s="5">
        <v>9000006</v>
      </c>
      <c r="D152" s="6" t="s">
        <v>370</v>
      </c>
      <c r="E152" s="6" t="s">
        <v>299</v>
      </c>
      <c r="F152" s="5" t="s">
        <v>287</v>
      </c>
      <c r="G152" s="6" t="s">
        <v>288</v>
      </c>
      <c r="H152" s="5" t="s">
        <v>650</v>
      </c>
      <c r="I152" s="5">
        <v>660</v>
      </c>
      <c r="J152" s="5" t="s">
        <v>384</v>
      </c>
      <c r="K152" s="6" t="s">
        <v>73</v>
      </c>
      <c r="L152" s="6" t="s">
        <v>26</v>
      </c>
      <c r="M152" s="6" t="s">
        <v>143</v>
      </c>
      <c r="N152" s="7">
        <v>44128</v>
      </c>
      <c r="O152" s="7">
        <v>44089</v>
      </c>
      <c r="P152" s="7">
        <v>44453</v>
      </c>
      <c r="Q152" s="8">
        <v>80</v>
      </c>
      <c r="R152" s="8">
        <v>120</v>
      </c>
      <c r="S152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52" s="12" t="str">
        <f t="shared" si="25"/>
        <v>VALUES('08800847','SLC METAL &amp; REFINING (PVT) LTD','Salaam@123','Y','N',sysdate,'016', 'C', 'Client', 'ikhwan@slcmetal.com','01','B', '08', 'ABDUL', sysdate, '10.6.100.63', '08800847');</v>
      </c>
      <c r="U152" s="12" t="str">
        <f t="shared" si="26"/>
        <v>INSERT INTO sy_user_branches (USER_CD, BRANCH_CODE, CLASS_CODE, ENT_BY, ENT_DATE, ENT_BY_IP)</v>
      </c>
      <c r="V152" s="12" t="str">
        <f t="shared" si="27"/>
        <v>values('08800847','01', '08', 'ABDUL', sysdate, '10.6.100.63');</v>
      </c>
      <c r="W152" s="12" t="str">
        <f t="shared" si="28"/>
        <v>INSERT INTO sy_perm_list (USER_CD, OPT_CD, ACCESS_TYPE, BRANCH_CODE, CLASS_CODE, ENT_BY, ENT_DATE, ENT_BY_IP)</v>
      </c>
      <c r="X152" s="12" t="str">
        <f t="shared" si="29"/>
        <v>VALUES('08800847','ClaimComments.aspx', 'USER', '01', '08', 'ABDUL', SYSDATE, '10.6.100.63');</v>
      </c>
      <c r="Y152" s="12" t="str">
        <f t="shared" si="30"/>
        <v>INSERT INTO sy_perm_list (USER_CD, OPT_CD, ACCESS_TYPE, BRANCH_CODE, CLASS_CODE, ENT_BY, ENT_DATE, ENT_BY_IP)</v>
      </c>
      <c r="Z152" s="12" t="str">
        <f t="shared" si="31"/>
        <v>VALUES('08800847','ClaimDocs.aspx', 'USER', '01', '08', 'ABDUL', SYSDATE, '10.6.100.63');</v>
      </c>
      <c r="AA152" s="12" t="str">
        <f t="shared" si="32"/>
        <v>INSERT INTO sy_perm_list (USER_CD, OPT_CD, ACCESS_TYPE, BRANCH_CODE, CLASS_CODE, ENT_BY, ENT_DATE, ENT_BY_IP)</v>
      </c>
      <c r="AB152" s="12" t="str">
        <f t="shared" si="33"/>
        <v>VALUES('08800847','Client.aspx', 'USER', '01', '08', 'ABDUL', SYSDATE, '10.6.100.63');</v>
      </c>
      <c r="AC152" s="12" t="str">
        <f t="shared" si="34"/>
        <v>INSERT INTO sy_perm_list (USER_CD, OPT_CD, ACCESS_TYPE, BRANCH_CODE, CLASS_CODE, ENT_BY, ENT_DATE, ENT_BY_IP)</v>
      </c>
      <c r="AD152" s="12" t="str">
        <f t="shared" si="35"/>
        <v>VALUES('08800847','ClientReports.aspx', 'USER', '01', '08', 'ABDUL', SYSDATE, '10.6.100.63');</v>
      </c>
      <c r="AE152" s="12" t="str">
        <f t="shared" si="36"/>
        <v>INSERT INTO sy_perm_list (USER_CD, OPT_CD, ACCESS_TYPE, BRANCH_CODE, CLASS_CODE, ENT_BY, ENT_DATE, ENT_BY_IP)</v>
      </c>
      <c r="AF152" s="12" t="str">
        <f t="shared" si="37"/>
        <v>VALUES('08800847','ClientRequests.aspx', 'USER', '01', '08', 'ABDUL', SYSDATE, '10.6.100.63');</v>
      </c>
      <c r="AG152" s="12" t="str">
        <f t="shared" si="38"/>
        <v>INSERT INTO sy_perm_list (USER_CD, OPT_CD, ACCESS_TYPE, BRANCH_CODE, CLASS_CODE, ENT_BY, ENT_DATE, ENT_BY_IP)</v>
      </c>
      <c r="AH152" s="12" t="str">
        <f t="shared" si="39"/>
        <v>VALUES('08800847','HealthLife.aspx', 'USER', '01', '08', 'ABDUL', SYSDATE, '10.6.100.63');</v>
      </c>
      <c r="AI152" s="12" t="str">
        <f t="shared" si="40"/>
        <v>INSERT INTO sy_perm_list (USER_CD, OPT_CD, ACCESS_TYPE, BRANCH_CODE, CLASS_CODE, ENT_BY, ENT_DATE, ENT_BY_IP)</v>
      </c>
      <c r="AJ152" s="12" t="str">
        <f t="shared" si="41"/>
        <v>VALUES('08800847','IpdClaim.aspx', 'USER', '01', '08', 'ABDUL', SYSDATE, '10.6.100.63');</v>
      </c>
      <c r="AK152" s="12" t="str">
        <f t="shared" si="42"/>
        <v>INSERT INTO sy_perm_list (USER_CD, OPT_CD, ACCESS_TYPE, BRANCH_CODE, CLASS_CODE, ENT_BY, ENT_DATE, ENT_BY_IP)</v>
      </c>
      <c r="AL152" s="12" t="str">
        <f t="shared" si="43"/>
        <v>VALUES('08800847','OpdClaim.aspx', 'USER', '01', '08', 'ABDUL', SYSDATE, '10.6.100.63');</v>
      </c>
      <c r="AM152" s="12" t="str">
        <f t="shared" si="44"/>
        <v>INSERT INTO sy_perm_list (USER_CD, OPT_CD, ACCESS_TYPE, BRANCH_CODE, CLASS_CODE, ENT_BY, ENT_DATE, ENT_BY_IP)</v>
      </c>
      <c r="AN152" s="12" t="str">
        <f t="shared" si="45"/>
        <v>VALUES('08800847','RequestDetails.aspx', 'USER', '01', '08', 'ABDUL', SYSDATE, '10.6.100.63');</v>
      </c>
      <c r="AO152" s="12" t="str">
        <f t="shared" si="46"/>
        <v>INSERT INTO sy_perm_list (USER_CD, OPT_CD, ACCESS_TYPE, BRANCH_CODE, CLASS_CODE, ENT_BY, ENT_DATE, ENT_BY_IP)</v>
      </c>
      <c r="AP152" s="12" t="str">
        <f t="shared" si="47"/>
        <v>VALUES('08800847','TodaysRequest.aspx', 'USER', '01', '08', 'ABDUL', SYSDATE, '10.6.100.63');</v>
      </c>
    </row>
    <row r="153" spans="1:42" s="6" customFormat="1" ht="76.5" x14ac:dyDescent="0.2">
      <c r="A153" s="4">
        <v>136</v>
      </c>
      <c r="B153" s="5" t="s">
        <v>786</v>
      </c>
      <c r="C153" s="5">
        <v>9000248</v>
      </c>
      <c r="D153" s="6" t="s">
        <v>293</v>
      </c>
      <c r="E153" s="6" t="s">
        <v>290</v>
      </c>
      <c r="F153" s="5" t="s">
        <v>287</v>
      </c>
      <c r="G153" s="6" t="s">
        <v>288</v>
      </c>
      <c r="H153" s="5" t="s">
        <v>652</v>
      </c>
      <c r="I153" s="5">
        <v>783</v>
      </c>
      <c r="J153" s="5" t="s">
        <v>505</v>
      </c>
      <c r="K153" s="6" t="s">
        <v>822</v>
      </c>
      <c r="L153" s="6" t="s">
        <v>631</v>
      </c>
      <c r="M153" s="6" t="s">
        <v>632</v>
      </c>
      <c r="N153" s="7">
        <v>44249</v>
      </c>
      <c r="O153" s="7">
        <v>44233</v>
      </c>
      <c r="P153" s="7">
        <v>44597</v>
      </c>
      <c r="Q153" s="8">
        <v>71</v>
      </c>
      <c r="R153" s="8">
        <v>71</v>
      </c>
      <c r="S153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53" s="12" t="str">
        <f t="shared" si="25"/>
        <v>VALUES('08801783','SPARC','Salaam@123','Y','N',sysdate,'016', 'C', 'Client', 'ngosparc@gmail.com','01','B', '08', 'ABDUL', sysdate, '10.6.100.63', '08801783');</v>
      </c>
      <c r="U153" s="12" t="str">
        <f t="shared" si="26"/>
        <v>INSERT INTO sy_user_branches (USER_CD, BRANCH_CODE, CLASS_CODE, ENT_BY, ENT_DATE, ENT_BY_IP)</v>
      </c>
      <c r="V153" s="12" t="str">
        <f t="shared" si="27"/>
        <v>values('08801783','01', '08', 'ABDUL', sysdate, '10.6.100.63');</v>
      </c>
      <c r="W153" s="12" t="str">
        <f t="shared" si="28"/>
        <v>INSERT INTO sy_perm_list (USER_CD, OPT_CD, ACCESS_TYPE, BRANCH_CODE, CLASS_CODE, ENT_BY, ENT_DATE, ENT_BY_IP)</v>
      </c>
      <c r="X153" s="12" t="str">
        <f t="shared" si="29"/>
        <v>VALUES('08801783','ClaimComments.aspx', 'USER', '01', '08', 'ABDUL', SYSDATE, '10.6.100.63');</v>
      </c>
      <c r="Y153" s="12" t="str">
        <f t="shared" si="30"/>
        <v>INSERT INTO sy_perm_list (USER_CD, OPT_CD, ACCESS_TYPE, BRANCH_CODE, CLASS_CODE, ENT_BY, ENT_DATE, ENT_BY_IP)</v>
      </c>
      <c r="Z153" s="12" t="str">
        <f t="shared" si="31"/>
        <v>VALUES('08801783','ClaimDocs.aspx', 'USER', '01', '08', 'ABDUL', SYSDATE, '10.6.100.63');</v>
      </c>
      <c r="AA153" s="12" t="str">
        <f t="shared" si="32"/>
        <v>INSERT INTO sy_perm_list (USER_CD, OPT_CD, ACCESS_TYPE, BRANCH_CODE, CLASS_CODE, ENT_BY, ENT_DATE, ENT_BY_IP)</v>
      </c>
      <c r="AB153" s="12" t="str">
        <f t="shared" si="33"/>
        <v>VALUES('08801783','Client.aspx', 'USER', '01', '08', 'ABDUL', SYSDATE, '10.6.100.63');</v>
      </c>
      <c r="AC153" s="12" t="str">
        <f t="shared" si="34"/>
        <v>INSERT INTO sy_perm_list (USER_CD, OPT_CD, ACCESS_TYPE, BRANCH_CODE, CLASS_CODE, ENT_BY, ENT_DATE, ENT_BY_IP)</v>
      </c>
      <c r="AD153" s="12" t="str">
        <f t="shared" si="35"/>
        <v>VALUES('08801783','ClientReports.aspx', 'USER', '01', '08', 'ABDUL', SYSDATE, '10.6.100.63');</v>
      </c>
      <c r="AE153" s="12" t="str">
        <f t="shared" si="36"/>
        <v>INSERT INTO sy_perm_list (USER_CD, OPT_CD, ACCESS_TYPE, BRANCH_CODE, CLASS_CODE, ENT_BY, ENT_DATE, ENT_BY_IP)</v>
      </c>
      <c r="AF153" s="12" t="str">
        <f t="shared" si="37"/>
        <v>VALUES('08801783','ClientRequests.aspx', 'USER', '01', '08', 'ABDUL', SYSDATE, '10.6.100.63');</v>
      </c>
      <c r="AG153" s="12" t="str">
        <f t="shared" si="38"/>
        <v>INSERT INTO sy_perm_list (USER_CD, OPT_CD, ACCESS_TYPE, BRANCH_CODE, CLASS_CODE, ENT_BY, ENT_DATE, ENT_BY_IP)</v>
      </c>
      <c r="AH153" s="12" t="str">
        <f t="shared" si="39"/>
        <v>VALUES('08801783','HealthLife.aspx', 'USER', '01', '08', 'ABDUL', SYSDATE, '10.6.100.63');</v>
      </c>
      <c r="AI153" s="12" t="str">
        <f t="shared" si="40"/>
        <v>INSERT INTO sy_perm_list (USER_CD, OPT_CD, ACCESS_TYPE, BRANCH_CODE, CLASS_CODE, ENT_BY, ENT_DATE, ENT_BY_IP)</v>
      </c>
      <c r="AJ153" s="12" t="str">
        <f t="shared" si="41"/>
        <v>VALUES('08801783','IpdClaim.aspx', 'USER', '01', '08', 'ABDUL', SYSDATE, '10.6.100.63');</v>
      </c>
      <c r="AK153" s="12" t="str">
        <f t="shared" si="42"/>
        <v>INSERT INTO sy_perm_list (USER_CD, OPT_CD, ACCESS_TYPE, BRANCH_CODE, CLASS_CODE, ENT_BY, ENT_DATE, ENT_BY_IP)</v>
      </c>
      <c r="AL153" s="12" t="str">
        <f t="shared" si="43"/>
        <v>VALUES('08801783','OpdClaim.aspx', 'USER', '01', '08', 'ABDUL', SYSDATE, '10.6.100.63');</v>
      </c>
      <c r="AM153" s="12" t="str">
        <f t="shared" si="44"/>
        <v>INSERT INTO sy_perm_list (USER_CD, OPT_CD, ACCESS_TYPE, BRANCH_CODE, CLASS_CODE, ENT_BY, ENT_DATE, ENT_BY_IP)</v>
      </c>
      <c r="AN153" s="12" t="str">
        <f t="shared" si="45"/>
        <v>VALUES('08801783','RequestDetails.aspx', 'USER', '01', '08', 'ABDUL', SYSDATE, '10.6.100.63');</v>
      </c>
      <c r="AO153" s="12" t="str">
        <f t="shared" si="46"/>
        <v>INSERT INTO sy_perm_list (USER_CD, OPT_CD, ACCESS_TYPE, BRANCH_CODE, CLASS_CODE, ENT_BY, ENT_DATE, ENT_BY_IP)</v>
      </c>
      <c r="AP153" s="12" t="str">
        <f t="shared" si="47"/>
        <v>VALUES('08801783','TodaysRequest.aspx', 'USER', '01', '08', 'ABDUL', SYSDATE, '10.6.100.63');</v>
      </c>
    </row>
    <row r="154" spans="1:42" s="6" customFormat="1" ht="76.5" x14ac:dyDescent="0.2">
      <c r="A154" s="4">
        <v>137</v>
      </c>
      <c r="B154" s="5" t="s">
        <v>787</v>
      </c>
      <c r="C154" s="5">
        <v>9000241</v>
      </c>
      <c r="D154" s="6" t="s">
        <v>296</v>
      </c>
      <c r="E154" s="6" t="s">
        <v>290</v>
      </c>
      <c r="F154" s="5" t="s">
        <v>287</v>
      </c>
      <c r="G154" s="6" t="s">
        <v>288</v>
      </c>
      <c r="H154" s="5" t="s">
        <v>649</v>
      </c>
      <c r="I154" s="5">
        <v>532</v>
      </c>
      <c r="J154" s="5" t="s">
        <v>297</v>
      </c>
      <c r="K154" s="6" t="s">
        <v>29</v>
      </c>
      <c r="L154" s="6" t="s">
        <v>30</v>
      </c>
      <c r="M154" s="6" t="s">
        <v>31</v>
      </c>
      <c r="N154" s="7">
        <v>43962</v>
      </c>
      <c r="O154" s="7">
        <v>43936</v>
      </c>
      <c r="P154" s="7">
        <v>44300</v>
      </c>
      <c r="Q154" s="8">
        <v>27</v>
      </c>
      <c r="R154" s="8">
        <v>123</v>
      </c>
      <c r="S154" s="12" t="str">
        <f t="shared" si="24"/>
        <v>insert into sy_users (USER_CD, USER_NAME, USER_PASS, ACTIVE, LOCK_USER, LAST_PASS_DATE, COST_CODE, USER_CATEGORY, DESIGNATION, EMAIL, BRANCH_CODE, USER_TYPE, CLASS_CODE, ENT_BY, ENT_DATE, ENT_BY_IP,PARTTAKER_CODE)</v>
      </c>
      <c r="T154" s="12" t="str">
        <f t="shared" si="25"/>
        <v>VALUES('08801308','STADIUM SERVICE STATION','Salaam@123','Y','N',sysdate,'016', 'C', 'Client', 'stadiumservicestation@gmail.com','01','B', '08', 'ABDUL', sysdate, '10.6.100.63', '08801308');</v>
      </c>
      <c r="U154" s="12" t="str">
        <f t="shared" si="26"/>
        <v>INSERT INTO sy_user_branches (USER_CD, BRANCH_CODE, CLASS_CODE, ENT_BY, ENT_DATE, ENT_BY_IP)</v>
      </c>
      <c r="V154" s="12" t="str">
        <f t="shared" si="27"/>
        <v>values('08801308','01', '08', 'ABDUL', sysdate, '10.6.100.63');</v>
      </c>
      <c r="W154" s="12" t="str">
        <f t="shared" si="28"/>
        <v>INSERT INTO sy_perm_list (USER_CD, OPT_CD, ACCESS_TYPE, BRANCH_CODE, CLASS_CODE, ENT_BY, ENT_DATE, ENT_BY_IP)</v>
      </c>
      <c r="X154" s="12" t="str">
        <f t="shared" si="29"/>
        <v>VALUES('08801308','ClaimComments.aspx', 'USER', '01', '08', 'ABDUL', SYSDATE, '10.6.100.63');</v>
      </c>
      <c r="Y154" s="12" t="str">
        <f t="shared" si="30"/>
        <v>INSERT INTO sy_perm_list (USER_CD, OPT_CD, ACCESS_TYPE, BRANCH_CODE, CLASS_CODE, ENT_BY, ENT_DATE, ENT_BY_IP)</v>
      </c>
      <c r="Z154" s="12" t="str">
        <f t="shared" si="31"/>
        <v>VALUES('08801308','ClaimDocs.aspx', 'USER', '01', '08', 'ABDUL', SYSDATE, '10.6.100.63');</v>
      </c>
      <c r="AA154" s="12" t="str">
        <f t="shared" si="32"/>
        <v>INSERT INTO sy_perm_list (USER_CD, OPT_CD, ACCESS_TYPE, BRANCH_CODE, CLASS_CODE, ENT_BY, ENT_DATE, ENT_BY_IP)</v>
      </c>
      <c r="AB154" s="12" t="str">
        <f t="shared" si="33"/>
        <v>VALUES('08801308','Client.aspx', 'USER', '01', '08', 'ABDUL', SYSDATE, '10.6.100.63');</v>
      </c>
      <c r="AC154" s="12" t="str">
        <f t="shared" si="34"/>
        <v>INSERT INTO sy_perm_list (USER_CD, OPT_CD, ACCESS_TYPE, BRANCH_CODE, CLASS_CODE, ENT_BY, ENT_DATE, ENT_BY_IP)</v>
      </c>
      <c r="AD154" s="12" t="str">
        <f t="shared" si="35"/>
        <v>VALUES('08801308','ClientReports.aspx', 'USER', '01', '08', 'ABDUL', SYSDATE, '10.6.100.63');</v>
      </c>
      <c r="AE154" s="12" t="str">
        <f t="shared" si="36"/>
        <v>INSERT INTO sy_perm_list (USER_CD, OPT_CD, ACCESS_TYPE, BRANCH_CODE, CLASS_CODE, ENT_BY, ENT_DATE, ENT_BY_IP)</v>
      </c>
      <c r="AF154" s="12" t="str">
        <f t="shared" si="37"/>
        <v>VALUES('08801308','ClientRequests.aspx', 'USER', '01', '08', 'ABDUL', SYSDATE, '10.6.100.63');</v>
      </c>
      <c r="AG154" s="12" t="str">
        <f t="shared" si="38"/>
        <v>INSERT INTO sy_perm_list (USER_CD, OPT_CD, ACCESS_TYPE, BRANCH_CODE, CLASS_CODE, ENT_BY, ENT_DATE, ENT_BY_IP)</v>
      </c>
      <c r="AH154" s="12" t="str">
        <f t="shared" si="39"/>
        <v>VALUES('08801308','HealthLife.aspx', 'USER', '01', '08', 'ABDUL', SYSDATE, '10.6.100.63');</v>
      </c>
      <c r="AI154" s="12" t="str">
        <f t="shared" si="40"/>
        <v>INSERT INTO sy_perm_list (USER_CD, OPT_CD, ACCESS_TYPE, BRANCH_CODE, CLASS_CODE, ENT_BY, ENT_DATE, ENT_BY_IP)</v>
      </c>
      <c r="AJ154" s="12" t="str">
        <f t="shared" si="41"/>
        <v>VALUES('08801308','IpdClaim.aspx', 'USER', '01', '08', 'ABDUL', SYSDATE, '10.6.100.63');</v>
      </c>
      <c r="AK154" s="12" t="str">
        <f t="shared" si="42"/>
        <v>INSERT INTO sy_perm_list (USER_CD, OPT_CD, ACCESS_TYPE, BRANCH_CODE, CLASS_CODE, ENT_BY, ENT_DATE, ENT_BY_IP)</v>
      </c>
      <c r="AL154" s="12" t="str">
        <f t="shared" si="43"/>
        <v>VALUES('08801308','OpdClaim.aspx', 'USER', '01', '08', 'ABDUL', SYSDATE, '10.6.100.63');</v>
      </c>
      <c r="AM154" s="12" t="str">
        <f t="shared" si="44"/>
        <v>INSERT INTO sy_perm_list (USER_CD, OPT_CD, ACCESS_TYPE, BRANCH_CODE, CLASS_CODE, ENT_BY, ENT_DATE, ENT_BY_IP)</v>
      </c>
      <c r="AN154" s="12" t="str">
        <f t="shared" si="45"/>
        <v>VALUES('08801308','RequestDetails.aspx', 'USER', '01', '08', 'ABDUL', SYSDATE, '10.6.100.63');</v>
      </c>
      <c r="AO154" s="12" t="str">
        <f t="shared" si="46"/>
        <v>INSERT INTO sy_perm_list (USER_CD, OPT_CD, ACCESS_TYPE, BRANCH_CODE, CLASS_CODE, ENT_BY, ENT_DATE, ENT_BY_IP)</v>
      </c>
      <c r="AP154" s="12" t="str">
        <f t="shared" si="47"/>
        <v>VALUES('08801308','TodaysRequest.aspx', 'USER', '01', '08', 'ABDUL', SYSDATE, '10.6.100.63');</v>
      </c>
    </row>
    <row r="155" spans="1:42" s="6" customFormat="1" ht="76.5" x14ac:dyDescent="0.2">
      <c r="A155" s="4">
        <v>138</v>
      </c>
      <c r="B155" s="5" t="s">
        <v>788</v>
      </c>
      <c r="C155" s="5">
        <v>9000218</v>
      </c>
      <c r="D155" s="6" t="s">
        <v>310</v>
      </c>
      <c r="E155" s="6" t="s">
        <v>299</v>
      </c>
      <c r="F155" s="5" t="s">
        <v>287</v>
      </c>
      <c r="G155" s="6" t="s">
        <v>288</v>
      </c>
      <c r="H155" s="5" t="s">
        <v>649</v>
      </c>
      <c r="I155" s="5">
        <v>637</v>
      </c>
      <c r="J155" s="5" t="s">
        <v>373</v>
      </c>
      <c r="K155" s="6" t="s">
        <v>181</v>
      </c>
      <c r="L155" s="6" t="s">
        <v>182</v>
      </c>
      <c r="M155" s="6" t="s">
        <v>183</v>
      </c>
      <c r="N155" s="7">
        <v>44105</v>
      </c>
      <c r="O155" s="7">
        <v>44105</v>
      </c>
      <c r="P155" s="7">
        <v>44469</v>
      </c>
      <c r="Q155" s="8">
        <v>37</v>
      </c>
      <c r="R155" s="8">
        <v>74</v>
      </c>
      <c r="S155" s="12" t="str">
        <f t="shared" ref="S155:S181" si="48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155" s="12" t="str">
        <f t="shared" ref="T155:T176" si="49">"VALUES('"&amp;B155&amp;"','"&amp;K155&amp;"','Salaam@123','Y','N',sysdate,'016', 'C', 'Client', '"&amp;M155&amp;"','01','B', '08', 'ABDUL', sysdate, '10.6.100.63', '"&amp;B155&amp;"');"</f>
        <v>VALUES('08800840','STANDARD SERVICES','Salaam@123','Y','N',sysdate,'016', 'C', 'Client', 'info@standardservices.com.pk','01','B', '08', 'ABDUL', sysdate, '10.6.100.63', '08800840');</v>
      </c>
      <c r="U155" s="12" t="str">
        <f t="shared" ref="U155:U185" si="50">"INSERT INTO sy_user_branches (USER_CD, BRANCH_CODE, CLASS_CODE, ENT_BY, ENT_DATE, ENT_BY_IP)"</f>
        <v>INSERT INTO sy_user_branches (USER_CD, BRANCH_CODE, CLASS_CODE, ENT_BY, ENT_DATE, ENT_BY_IP)</v>
      </c>
      <c r="V155" s="12" t="str">
        <f t="shared" ref="V155:V176" si="51">"values('"&amp;B155&amp;"','01', '08', 'ABDUL', sysdate, '10.6.100.63');"</f>
        <v>values('08800840','01', '08', 'ABDUL', sysdate, '10.6.100.63');</v>
      </c>
      <c r="W155" s="12" t="str">
        <f t="shared" ref="W155:W221" si="52">"INSERT INTO sy_perm_list (USER_CD, OPT_CD, ACCESS_TYPE, BRANCH_CODE, CLASS_CODE, ENT_BY, ENT_DATE, ENT_BY_IP)"</f>
        <v>INSERT INTO sy_perm_list (USER_CD, OPT_CD, ACCESS_TYPE, BRANCH_CODE, CLASS_CODE, ENT_BY, ENT_DATE, ENT_BY_IP)</v>
      </c>
      <c r="X155" s="12" t="str">
        <f t="shared" ref="X155:X176" si="53">"VALUES('"&amp;B155&amp;"','ClaimComments.aspx', 'USER', '01', '08', 'ABDUL', SYSDATE, '10.6.100.63');"</f>
        <v>VALUES('08800840','ClaimComments.aspx', 'USER', '01', '08', 'ABDUL', SYSDATE, '10.6.100.63');</v>
      </c>
      <c r="Y155" s="12" t="str">
        <f t="shared" ref="Y155:Y221" si="54">"INSERT INTO sy_perm_list (USER_CD, OPT_CD, ACCESS_TYPE, BRANCH_CODE, CLASS_CODE, ENT_BY, ENT_DATE, ENT_BY_IP)"</f>
        <v>INSERT INTO sy_perm_list (USER_CD, OPT_CD, ACCESS_TYPE, BRANCH_CODE, CLASS_CODE, ENT_BY, ENT_DATE, ENT_BY_IP)</v>
      </c>
      <c r="Z155" s="12" t="str">
        <f t="shared" ref="Z155:Z176" si="55">"VALUES('"&amp;B155&amp;"','ClaimDocs.aspx', 'USER', '01', '08', 'ABDUL', SYSDATE, '10.6.100.63');"</f>
        <v>VALUES('08800840','ClaimDocs.aspx', 'USER', '01', '08', 'ABDUL', SYSDATE, '10.6.100.63');</v>
      </c>
      <c r="AA155" s="12" t="str">
        <f t="shared" ref="AA155:AA221" si="56">"INSERT INTO sy_perm_list (USER_CD, OPT_CD, ACCESS_TYPE, BRANCH_CODE, CLASS_CODE, ENT_BY, ENT_DATE, ENT_BY_IP)"</f>
        <v>INSERT INTO sy_perm_list (USER_CD, OPT_CD, ACCESS_TYPE, BRANCH_CODE, CLASS_CODE, ENT_BY, ENT_DATE, ENT_BY_IP)</v>
      </c>
      <c r="AB155" s="12" t="str">
        <f t="shared" ref="AB155:AB176" si="57">"VALUES('"&amp;B155&amp;"','Client.aspx', 'USER', '01', '08', 'ABDUL', SYSDATE, '10.6.100.63');"</f>
        <v>VALUES('08800840','Client.aspx', 'USER', '01', '08', 'ABDUL', SYSDATE, '10.6.100.63');</v>
      </c>
      <c r="AC155" s="12" t="str">
        <f t="shared" ref="AC155:AC221" si="58">"INSERT INTO sy_perm_list (USER_CD, OPT_CD, ACCESS_TYPE, BRANCH_CODE, CLASS_CODE, ENT_BY, ENT_DATE, ENT_BY_IP)"</f>
        <v>INSERT INTO sy_perm_list (USER_CD, OPT_CD, ACCESS_TYPE, BRANCH_CODE, CLASS_CODE, ENT_BY, ENT_DATE, ENT_BY_IP)</v>
      </c>
      <c r="AD155" s="12" t="str">
        <f t="shared" ref="AD155:AD176" si="59">"VALUES('"&amp;B155&amp;"','ClientReports.aspx', 'USER', '01', '08', 'ABDUL', SYSDATE, '10.6.100.63');"</f>
        <v>VALUES('08800840','ClientReports.aspx', 'USER', '01', '08', 'ABDUL', SYSDATE, '10.6.100.63');</v>
      </c>
      <c r="AE155" s="12" t="str">
        <f t="shared" ref="AE155:AE221" si="60">"INSERT INTO sy_perm_list (USER_CD, OPT_CD, ACCESS_TYPE, BRANCH_CODE, CLASS_CODE, ENT_BY, ENT_DATE, ENT_BY_IP)"</f>
        <v>INSERT INTO sy_perm_list (USER_CD, OPT_CD, ACCESS_TYPE, BRANCH_CODE, CLASS_CODE, ENT_BY, ENT_DATE, ENT_BY_IP)</v>
      </c>
      <c r="AF155" s="12" t="str">
        <f t="shared" ref="AF155:AF176" si="61">"VALUES('"&amp;B155&amp;"','ClientRequests.aspx', 'USER', '01', '08', 'ABDUL', SYSDATE, '10.6.100.63');"</f>
        <v>VALUES('08800840','ClientRequests.aspx', 'USER', '01', '08', 'ABDUL', SYSDATE, '10.6.100.63');</v>
      </c>
      <c r="AG155" s="12" t="str">
        <f t="shared" ref="AG155:AG221" si="62">"INSERT INTO sy_perm_list (USER_CD, OPT_CD, ACCESS_TYPE, BRANCH_CODE, CLASS_CODE, ENT_BY, ENT_DATE, ENT_BY_IP)"</f>
        <v>INSERT INTO sy_perm_list (USER_CD, OPT_CD, ACCESS_TYPE, BRANCH_CODE, CLASS_CODE, ENT_BY, ENT_DATE, ENT_BY_IP)</v>
      </c>
      <c r="AH155" s="12" t="str">
        <f t="shared" ref="AH155:AH176" si="63">"VALUES('"&amp;B155&amp;"','HealthLife.aspx', 'USER', '01', '08', 'ABDUL', SYSDATE, '10.6.100.63');"</f>
        <v>VALUES('08800840','HealthLife.aspx', 'USER', '01', '08', 'ABDUL', SYSDATE, '10.6.100.63');</v>
      </c>
      <c r="AI155" s="12" t="str">
        <f t="shared" ref="AI155:AI221" si="64">"INSERT INTO sy_perm_list (USER_CD, OPT_CD, ACCESS_TYPE, BRANCH_CODE, CLASS_CODE, ENT_BY, ENT_DATE, ENT_BY_IP)"</f>
        <v>INSERT INTO sy_perm_list (USER_CD, OPT_CD, ACCESS_TYPE, BRANCH_CODE, CLASS_CODE, ENT_BY, ENT_DATE, ENT_BY_IP)</v>
      </c>
      <c r="AJ155" s="12" t="str">
        <f t="shared" ref="AJ155:AJ176" si="65">"VALUES('"&amp;B155&amp;"','IpdClaim.aspx', 'USER', '01', '08', 'ABDUL', SYSDATE, '10.6.100.63');"</f>
        <v>VALUES('08800840','IpdClaim.aspx', 'USER', '01', '08', 'ABDUL', SYSDATE, '10.6.100.63');</v>
      </c>
      <c r="AK155" s="12" t="str">
        <f t="shared" ref="AK155:AK221" si="66">"INSERT INTO sy_perm_list (USER_CD, OPT_CD, ACCESS_TYPE, BRANCH_CODE, CLASS_CODE, ENT_BY, ENT_DATE, ENT_BY_IP)"</f>
        <v>INSERT INTO sy_perm_list (USER_CD, OPT_CD, ACCESS_TYPE, BRANCH_CODE, CLASS_CODE, ENT_BY, ENT_DATE, ENT_BY_IP)</v>
      </c>
      <c r="AL155" s="12" t="str">
        <f t="shared" ref="AL155:AL176" si="67">"VALUES('"&amp;B155&amp;"','OpdClaim.aspx', 'USER', '01', '08', 'ABDUL', SYSDATE, '10.6.100.63');"</f>
        <v>VALUES('08800840','OpdClaim.aspx', 'USER', '01', '08', 'ABDUL', SYSDATE, '10.6.100.63');</v>
      </c>
      <c r="AM155" s="12" t="str">
        <f t="shared" ref="AM155:AM221" si="68">"INSERT INTO sy_perm_list (USER_CD, OPT_CD, ACCESS_TYPE, BRANCH_CODE, CLASS_CODE, ENT_BY, ENT_DATE, ENT_BY_IP)"</f>
        <v>INSERT INTO sy_perm_list (USER_CD, OPT_CD, ACCESS_TYPE, BRANCH_CODE, CLASS_CODE, ENT_BY, ENT_DATE, ENT_BY_IP)</v>
      </c>
      <c r="AN155" s="12" t="str">
        <f t="shared" ref="AN155:AN176" si="69">"VALUES('"&amp;B155&amp;"','RequestDetails.aspx', 'USER', '01', '08', 'ABDUL', SYSDATE, '10.6.100.63');"</f>
        <v>VALUES('08800840','RequestDetails.aspx', 'USER', '01', '08', 'ABDUL', SYSDATE, '10.6.100.63');</v>
      </c>
      <c r="AO155" s="12" t="str">
        <f t="shared" ref="AO155:AO221" si="70">"INSERT INTO sy_perm_list (USER_CD, OPT_CD, ACCESS_TYPE, BRANCH_CODE, CLASS_CODE, ENT_BY, ENT_DATE, ENT_BY_IP)"</f>
        <v>INSERT INTO sy_perm_list (USER_CD, OPT_CD, ACCESS_TYPE, BRANCH_CODE, CLASS_CODE, ENT_BY, ENT_DATE, ENT_BY_IP)</v>
      </c>
      <c r="AP155" s="12" t="str">
        <f t="shared" ref="AP155:AP176" si="71">"VALUES('"&amp;B155&amp;"','TodaysRequest.aspx', 'USER', '01', '08', 'ABDUL', SYSDATE, '10.6.100.63');"</f>
        <v>VALUES('08800840','TodaysRequest.aspx', 'USER', '01', '08', 'ABDUL', SYSDATE, '10.6.100.63');</v>
      </c>
    </row>
    <row r="156" spans="1:42" s="6" customFormat="1" ht="76.5" x14ac:dyDescent="0.2">
      <c r="A156" s="4">
        <v>139</v>
      </c>
      <c r="B156" s="5" t="s">
        <v>789</v>
      </c>
      <c r="C156" s="5">
        <v>9000248</v>
      </c>
      <c r="D156" s="6" t="s">
        <v>293</v>
      </c>
      <c r="E156" s="6" t="s">
        <v>290</v>
      </c>
      <c r="F156" s="5" t="s">
        <v>287</v>
      </c>
      <c r="G156" s="6" t="s">
        <v>288</v>
      </c>
      <c r="H156" s="5" t="s">
        <v>652</v>
      </c>
      <c r="I156" s="5">
        <v>602</v>
      </c>
      <c r="J156" s="5" t="s">
        <v>346</v>
      </c>
      <c r="K156" s="6" t="s">
        <v>347</v>
      </c>
      <c r="L156" s="6" t="s">
        <v>633</v>
      </c>
      <c r="M156" s="6" t="s">
        <v>634</v>
      </c>
      <c r="N156" s="7">
        <v>44077</v>
      </c>
      <c r="O156" s="7">
        <v>44075</v>
      </c>
      <c r="P156" s="7">
        <v>44439</v>
      </c>
      <c r="Q156" s="8">
        <v>10</v>
      </c>
      <c r="R156" s="8">
        <v>19</v>
      </c>
      <c r="S156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56" s="12" t="str">
        <f t="shared" si="49"/>
        <v>VALUES('08800832','SWITCH','Salaam@123','Y','N',sysdate,'016', 'C', 'Client', 'umair@switchitc.com','01','B', '08', 'ABDUL', sysdate, '10.6.100.63', '08800832');</v>
      </c>
      <c r="U156" s="12" t="str">
        <f t="shared" si="50"/>
        <v>INSERT INTO sy_user_branches (USER_CD, BRANCH_CODE, CLASS_CODE, ENT_BY, ENT_DATE, ENT_BY_IP)</v>
      </c>
      <c r="V156" s="12" t="str">
        <f t="shared" si="51"/>
        <v>values('08800832','01', '08', 'ABDUL', sysdate, '10.6.100.63');</v>
      </c>
      <c r="W156" s="12" t="str">
        <f t="shared" si="52"/>
        <v>INSERT INTO sy_perm_list (USER_CD, OPT_CD, ACCESS_TYPE, BRANCH_CODE, CLASS_CODE, ENT_BY, ENT_DATE, ENT_BY_IP)</v>
      </c>
      <c r="X156" s="12" t="str">
        <f t="shared" si="53"/>
        <v>VALUES('08800832','ClaimComments.aspx', 'USER', '01', '08', 'ABDUL', SYSDATE, '10.6.100.63');</v>
      </c>
      <c r="Y156" s="12" t="str">
        <f t="shared" si="54"/>
        <v>INSERT INTO sy_perm_list (USER_CD, OPT_CD, ACCESS_TYPE, BRANCH_CODE, CLASS_CODE, ENT_BY, ENT_DATE, ENT_BY_IP)</v>
      </c>
      <c r="Z156" s="12" t="str">
        <f t="shared" si="55"/>
        <v>VALUES('08800832','ClaimDocs.aspx', 'USER', '01', '08', 'ABDUL', SYSDATE, '10.6.100.63');</v>
      </c>
      <c r="AA156" s="12" t="str">
        <f t="shared" si="56"/>
        <v>INSERT INTO sy_perm_list (USER_CD, OPT_CD, ACCESS_TYPE, BRANCH_CODE, CLASS_CODE, ENT_BY, ENT_DATE, ENT_BY_IP)</v>
      </c>
      <c r="AB156" s="12" t="str">
        <f t="shared" si="57"/>
        <v>VALUES('08800832','Client.aspx', 'USER', '01', '08', 'ABDUL', SYSDATE, '10.6.100.63');</v>
      </c>
      <c r="AC156" s="12" t="str">
        <f t="shared" si="58"/>
        <v>INSERT INTO sy_perm_list (USER_CD, OPT_CD, ACCESS_TYPE, BRANCH_CODE, CLASS_CODE, ENT_BY, ENT_DATE, ENT_BY_IP)</v>
      </c>
      <c r="AD156" s="12" t="str">
        <f t="shared" si="59"/>
        <v>VALUES('08800832','ClientReports.aspx', 'USER', '01', '08', 'ABDUL', SYSDATE, '10.6.100.63');</v>
      </c>
      <c r="AE156" s="12" t="str">
        <f t="shared" si="60"/>
        <v>INSERT INTO sy_perm_list (USER_CD, OPT_CD, ACCESS_TYPE, BRANCH_CODE, CLASS_CODE, ENT_BY, ENT_DATE, ENT_BY_IP)</v>
      </c>
      <c r="AF156" s="12" t="str">
        <f t="shared" si="61"/>
        <v>VALUES('08800832','ClientRequests.aspx', 'USER', '01', '08', 'ABDUL', SYSDATE, '10.6.100.63');</v>
      </c>
      <c r="AG156" s="12" t="str">
        <f t="shared" si="62"/>
        <v>INSERT INTO sy_perm_list (USER_CD, OPT_CD, ACCESS_TYPE, BRANCH_CODE, CLASS_CODE, ENT_BY, ENT_DATE, ENT_BY_IP)</v>
      </c>
      <c r="AH156" s="12" t="str">
        <f t="shared" si="63"/>
        <v>VALUES('08800832','HealthLife.aspx', 'USER', '01', '08', 'ABDUL', SYSDATE, '10.6.100.63');</v>
      </c>
      <c r="AI156" s="12" t="str">
        <f t="shared" si="64"/>
        <v>INSERT INTO sy_perm_list (USER_CD, OPT_CD, ACCESS_TYPE, BRANCH_CODE, CLASS_CODE, ENT_BY, ENT_DATE, ENT_BY_IP)</v>
      </c>
      <c r="AJ156" s="12" t="str">
        <f t="shared" si="65"/>
        <v>VALUES('08800832','IpdClaim.aspx', 'USER', '01', '08', 'ABDUL', SYSDATE, '10.6.100.63');</v>
      </c>
      <c r="AK156" s="12" t="str">
        <f t="shared" si="66"/>
        <v>INSERT INTO sy_perm_list (USER_CD, OPT_CD, ACCESS_TYPE, BRANCH_CODE, CLASS_CODE, ENT_BY, ENT_DATE, ENT_BY_IP)</v>
      </c>
      <c r="AL156" s="12" t="str">
        <f t="shared" si="67"/>
        <v>VALUES('08800832','OpdClaim.aspx', 'USER', '01', '08', 'ABDUL', SYSDATE, '10.6.100.63');</v>
      </c>
      <c r="AM156" s="12" t="str">
        <f t="shared" si="68"/>
        <v>INSERT INTO sy_perm_list (USER_CD, OPT_CD, ACCESS_TYPE, BRANCH_CODE, CLASS_CODE, ENT_BY, ENT_DATE, ENT_BY_IP)</v>
      </c>
      <c r="AN156" s="12" t="str">
        <f t="shared" si="69"/>
        <v>VALUES('08800832','RequestDetails.aspx', 'USER', '01', '08', 'ABDUL', SYSDATE, '10.6.100.63');</v>
      </c>
      <c r="AO156" s="12" t="str">
        <f t="shared" si="70"/>
        <v>INSERT INTO sy_perm_list (USER_CD, OPT_CD, ACCESS_TYPE, BRANCH_CODE, CLASS_CODE, ENT_BY, ENT_DATE, ENT_BY_IP)</v>
      </c>
      <c r="AP156" s="12" t="str">
        <f t="shared" si="71"/>
        <v>VALUES('08800832','TodaysRequest.aspx', 'USER', '01', '08', 'ABDUL', SYSDATE, '10.6.100.63');</v>
      </c>
    </row>
    <row r="157" spans="1:42" s="6" customFormat="1" ht="76.5" x14ac:dyDescent="0.2">
      <c r="A157" s="4">
        <v>140</v>
      </c>
      <c r="B157" s="5" t="s">
        <v>790</v>
      </c>
      <c r="C157" s="5">
        <v>9000230</v>
      </c>
      <c r="D157" s="6" t="s">
        <v>494</v>
      </c>
      <c r="E157" s="6" t="s">
        <v>299</v>
      </c>
      <c r="F157" s="5" t="s">
        <v>287</v>
      </c>
      <c r="G157" s="6" t="s">
        <v>288</v>
      </c>
      <c r="H157" s="5" t="s">
        <v>649</v>
      </c>
      <c r="I157" s="5">
        <v>780</v>
      </c>
      <c r="J157" s="5" t="s">
        <v>499</v>
      </c>
      <c r="K157" s="6" t="s">
        <v>500</v>
      </c>
      <c r="L157" s="6" t="s">
        <v>145</v>
      </c>
      <c r="M157" s="6" t="s">
        <v>146</v>
      </c>
      <c r="N157" s="7">
        <v>44245</v>
      </c>
      <c r="O157" s="7">
        <v>44197</v>
      </c>
      <c r="P157" s="7">
        <v>44561</v>
      </c>
      <c r="Q157" s="8">
        <v>23</v>
      </c>
      <c r="R157" s="8">
        <v>41</v>
      </c>
      <c r="S157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57" s="12" t="str">
        <f t="shared" si="49"/>
        <v>VALUES('08801197','TAHA BUILDERS &amp; DEVELOPERS','Salaam@123','Y','N',sysdate,'016', 'C', 'Client', 'faisal-hr@nelsonpaints.com ','01','B', '08', 'ABDUL', sysdate, '10.6.100.63', '08801197');</v>
      </c>
      <c r="U157" s="12" t="str">
        <f t="shared" si="50"/>
        <v>INSERT INTO sy_user_branches (USER_CD, BRANCH_CODE, CLASS_CODE, ENT_BY, ENT_DATE, ENT_BY_IP)</v>
      </c>
      <c r="V157" s="12" t="str">
        <f t="shared" si="51"/>
        <v>values('08801197','01', '08', 'ABDUL', sysdate, '10.6.100.63');</v>
      </c>
      <c r="W157" s="12" t="str">
        <f t="shared" si="52"/>
        <v>INSERT INTO sy_perm_list (USER_CD, OPT_CD, ACCESS_TYPE, BRANCH_CODE, CLASS_CODE, ENT_BY, ENT_DATE, ENT_BY_IP)</v>
      </c>
      <c r="X157" s="12" t="str">
        <f t="shared" si="53"/>
        <v>VALUES('08801197','ClaimComments.aspx', 'USER', '01', '08', 'ABDUL', SYSDATE, '10.6.100.63');</v>
      </c>
      <c r="Y157" s="12" t="str">
        <f t="shared" si="54"/>
        <v>INSERT INTO sy_perm_list (USER_CD, OPT_CD, ACCESS_TYPE, BRANCH_CODE, CLASS_CODE, ENT_BY, ENT_DATE, ENT_BY_IP)</v>
      </c>
      <c r="Z157" s="12" t="str">
        <f t="shared" si="55"/>
        <v>VALUES('08801197','ClaimDocs.aspx', 'USER', '01', '08', 'ABDUL', SYSDATE, '10.6.100.63');</v>
      </c>
      <c r="AA157" s="12" t="str">
        <f t="shared" si="56"/>
        <v>INSERT INTO sy_perm_list (USER_CD, OPT_CD, ACCESS_TYPE, BRANCH_CODE, CLASS_CODE, ENT_BY, ENT_DATE, ENT_BY_IP)</v>
      </c>
      <c r="AB157" s="12" t="str">
        <f t="shared" si="57"/>
        <v>VALUES('08801197','Client.aspx', 'USER', '01', '08', 'ABDUL', SYSDATE, '10.6.100.63');</v>
      </c>
      <c r="AC157" s="12" t="str">
        <f t="shared" si="58"/>
        <v>INSERT INTO sy_perm_list (USER_CD, OPT_CD, ACCESS_TYPE, BRANCH_CODE, CLASS_CODE, ENT_BY, ENT_DATE, ENT_BY_IP)</v>
      </c>
      <c r="AD157" s="12" t="str">
        <f t="shared" si="59"/>
        <v>VALUES('08801197','ClientReports.aspx', 'USER', '01', '08', 'ABDUL', SYSDATE, '10.6.100.63');</v>
      </c>
      <c r="AE157" s="12" t="str">
        <f t="shared" si="60"/>
        <v>INSERT INTO sy_perm_list (USER_CD, OPT_CD, ACCESS_TYPE, BRANCH_CODE, CLASS_CODE, ENT_BY, ENT_DATE, ENT_BY_IP)</v>
      </c>
      <c r="AF157" s="12" t="str">
        <f t="shared" si="61"/>
        <v>VALUES('08801197','ClientRequests.aspx', 'USER', '01', '08', 'ABDUL', SYSDATE, '10.6.100.63');</v>
      </c>
      <c r="AG157" s="12" t="str">
        <f t="shared" si="62"/>
        <v>INSERT INTO sy_perm_list (USER_CD, OPT_CD, ACCESS_TYPE, BRANCH_CODE, CLASS_CODE, ENT_BY, ENT_DATE, ENT_BY_IP)</v>
      </c>
      <c r="AH157" s="12" t="str">
        <f t="shared" si="63"/>
        <v>VALUES('08801197','HealthLife.aspx', 'USER', '01', '08', 'ABDUL', SYSDATE, '10.6.100.63');</v>
      </c>
      <c r="AI157" s="12" t="str">
        <f t="shared" si="64"/>
        <v>INSERT INTO sy_perm_list (USER_CD, OPT_CD, ACCESS_TYPE, BRANCH_CODE, CLASS_CODE, ENT_BY, ENT_DATE, ENT_BY_IP)</v>
      </c>
      <c r="AJ157" s="12" t="str">
        <f t="shared" si="65"/>
        <v>VALUES('08801197','IpdClaim.aspx', 'USER', '01', '08', 'ABDUL', SYSDATE, '10.6.100.63');</v>
      </c>
      <c r="AK157" s="12" t="str">
        <f t="shared" si="66"/>
        <v>INSERT INTO sy_perm_list (USER_CD, OPT_CD, ACCESS_TYPE, BRANCH_CODE, CLASS_CODE, ENT_BY, ENT_DATE, ENT_BY_IP)</v>
      </c>
      <c r="AL157" s="12" t="str">
        <f t="shared" si="67"/>
        <v>VALUES('08801197','OpdClaim.aspx', 'USER', '01', '08', 'ABDUL', SYSDATE, '10.6.100.63');</v>
      </c>
      <c r="AM157" s="12" t="str">
        <f t="shared" si="68"/>
        <v>INSERT INTO sy_perm_list (USER_CD, OPT_CD, ACCESS_TYPE, BRANCH_CODE, CLASS_CODE, ENT_BY, ENT_DATE, ENT_BY_IP)</v>
      </c>
      <c r="AN157" s="12" t="str">
        <f t="shared" si="69"/>
        <v>VALUES('08801197','RequestDetails.aspx', 'USER', '01', '08', 'ABDUL', SYSDATE, '10.6.100.63');</v>
      </c>
      <c r="AO157" s="12" t="str">
        <f t="shared" si="70"/>
        <v>INSERT INTO sy_perm_list (USER_CD, OPT_CD, ACCESS_TYPE, BRANCH_CODE, CLASS_CODE, ENT_BY, ENT_DATE, ENT_BY_IP)</v>
      </c>
      <c r="AP157" s="12" t="str">
        <f t="shared" si="71"/>
        <v>VALUES('08801197','TodaysRequest.aspx', 'USER', '01', '08', 'ABDUL', SYSDATE, '10.6.100.63');</v>
      </c>
    </row>
    <row r="158" spans="1:42" s="6" customFormat="1" ht="76.5" x14ac:dyDescent="0.2">
      <c r="A158" s="4">
        <v>141</v>
      </c>
      <c r="B158" s="5" t="s">
        <v>791</v>
      </c>
      <c r="C158" s="5">
        <v>9000241</v>
      </c>
      <c r="D158" s="6" t="s">
        <v>296</v>
      </c>
      <c r="E158" s="6" t="s">
        <v>290</v>
      </c>
      <c r="F158" s="5" t="s">
        <v>287</v>
      </c>
      <c r="G158" s="6" t="s">
        <v>288</v>
      </c>
      <c r="H158" s="5" t="s">
        <v>649</v>
      </c>
      <c r="I158" s="5">
        <v>601</v>
      </c>
      <c r="J158" s="5" t="s">
        <v>345</v>
      </c>
      <c r="K158" s="6" t="s">
        <v>226</v>
      </c>
      <c r="L158" s="6" t="s">
        <v>224</v>
      </c>
      <c r="M158" s="6" t="s">
        <v>225</v>
      </c>
      <c r="N158" s="7">
        <v>44076</v>
      </c>
      <c r="O158" s="7">
        <v>44058</v>
      </c>
      <c r="P158" s="7">
        <v>44422</v>
      </c>
      <c r="Q158" s="8">
        <v>758</v>
      </c>
      <c r="R158" s="8">
        <v>793</v>
      </c>
      <c r="S158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58" s="12" t="str">
        <f t="shared" si="49"/>
        <v>VALUES('08800914','TALENT EDGE CONSULTING (PVT) LTD (DIB)','Salaam@123','Y','N',sysdate,'016', 'C', 'Client', 'waleedhussain@talent-edge.net','01','B', '08', 'ABDUL', sysdate, '10.6.100.63', '08800914');</v>
      </c>
      <c r="U158" s="12" t="str">
        <f t="shared" si="50"/>
        <v>INSERT INTO sy_user_branches (USER_CD, BRANCH_CODE, CLASS_CODE, ENT_BY, ENT_DATE, ENT_BY_IP)</v>
      </c>
      <c r="V158" s="12" t="str">
        <f t="shared" si="51"/>
        <v>values('08800914','01', '08', 'ABDUL', sysdate, '10.6.100.63');</v>
      </c>
      <c r="W158" s="12" t="str">
        <f t="shared" si="52"/>
        <v>INSERT INTO sy_perm_list (USER_CD, OPT_CD, ACCESS_TYPE, BRANCH_CODE, CLASS_CODE, ENT_BY, ENT_DATE, ENT_BY_IP)</v>
      </c>
      <c r="X158" s="12" t="str">
        <f t="shared" si="53"/>
        <v>VALUES('08800914','ClaimComments.aspx', 'USER', '01', '08', 'ABDUL', SYSDATE, '10.6.100.63');</v>
      </c>
      <c r="Y158" s="12" t="str">
        <f t="shared" si="54"/>
        <v>INSERT INTO sy_perm_list (USER_CD, OPT_CD, ACCESS_TYPE, BRANCH_CODE, CLASS_CODE, ENT_BY, ENT_DATE, ENT_BY_IP)</v>
      </c>
      <c r="Z158" s="12" t="str">
        <f t="shared" si="55"/>
        <v>VALUES('08800914','ClaimDocs.aspx', 'USER', '01', '08', 'ABDUL', SYSDATE, '10.6.100.63');</v>
      </c>
      <c r="AA158" s="12" t="str">
        <f t="shared" si="56"/>
        <v>INSERT INTO sy_perm_list (USER_CD, OPT_CD, ACCESS_TYPE, BRANCH_CODE, CLASS_CODE, ENT_BY, ENT_DATE, ENT_BY_IP)</v>
      </c>
      <c r="AB158" s="12" t="str">
        <f t="shared" si="57"/>
        <v>VALUES('08800914','Client.aspx', 'USER', '01', '08', 'ABDUL', SYSDATE, '10.6.100.63');</v>
      </c>
      <c r="AC158" s="12" t="str">
        <f t="shared" si="58"/>
        <v>INSERT INTO sy_perm_list (USER_CD, OPT_CD, ACCESS_TYPE, BRANCH_CODE, CLASS_CODE, ENT_BY, ENT_DATE, ENT_BY_IP)</v>
      </c>
      <c r="AD158" s="12" t="str">
        <f t="shared" si="59"/>
        <v>VALUES('08800914','ClientReports.aspx', 'USER', '01', '08', 'ABDUL', SYSDATE, '10.6.100.63');</v>
      </c>
      <c r="AE158" s="12" t="str">
        <f t="shared" si="60"/>
        <v>INSERT INTO sy_perm_list (USER_CD, OPT_CD, ACCESS_TYPE, BRANCH_CODE, CLASS_CODE, ENT_BY, ENT_DATE, ENT_BY_IP)</v>
      </c>
      <c r="AF158" s="12" t="str">
        <f t="shared" si="61"/>
        <v>VALUES('08800914','ClientRequests.aspx', 'USER', '01', '08', 'ABDUL', SYSDATE, '10.6.100.63');</v>
      </c>
      <c r="AG158" s="12" t="str">
        <f t="shared" si="62"/>
        <v>INSERT INTO sy_perm_list (USER_CD, OPT_CD, ACCESS_TYPE, BRANCH_CODE, CLASS_CODE, ENT_BY, ENT_DATE, ENT_BY_IP)</v>
      </c>
      <c r="AH158" s="12" t="str">
        <f t="shared" si="63"/>
        <v>VALUES('08800914','HealthLife.aspx', 'USER', '01', '08', 'ABDUL', SYSDATE, '10.6.100.63');</v>
      </c>
      <c r="AI158" s="12" t="str">
        <f t="shared" si="64"/>
        <v>INSERT INTO sy_perm_list (USER_CD, OPT_CD, ACCESS_TYPE, BRANCH_CODE, CLASS_CODE, ENT_BY, ENT_DATE, ENT_BY_IP)</v>
      </c>
      <c r="AJ158" s="12" t="str">
        <f t="shared" si="65"/>
        <v>VALUES('08800914','IpdClaim.aspx', 'USER', '01', '08', 'ABDUL', SYSDATE, '10.6.100.63');</v>
      </c>
      <c r="AK158" s="12" t="str">
        <f t="shared" si="66"/>
        <v>INSERT INTO sy_perm_list (USER_CD, OPT_CD, ACCESS_TYPE, BRANCH_CODE, CLASS_CODE, ENT_BY, ENT_DATE, ENT_BY_IP)</v>
      </c>
      <c r="AL158" s="12" t="str">
        <f t="shared" si="67"/>
        <v>VALUES('08800914','OpdClaim.aspx', 'USER', '01', '08', 'ABDUL', SYSDATE, '10.6.100.63');</v>
      </c>
      <c r="AM158" s="12" t="str">
        <f t="shared" si="68"/>
        <v>INSERT INTO sy_perm_list (USER_CD, OPT_CD, ACCESS_TYPE, BRANCH_CODE, CLASS_CODE, ENT_BY, ENT_DATE, ENT_BY_IP)</v>
      </c>
      <c r="AN158" s="12" t="str">
        <f t="shared" si="69"/>
        <v>VALUES('08800914','RequestDetails.aspx', 'USER', '01', '08', 'ABDUL', SYSDATE, '10.6.100.63');</v>
      </c>
      <c r="AO158" s="12" t="str">
        <f t="shared" si="70"/>
        <v>INSERT INTO sy_perm_list (USER_CD, OPT_CD, ACCESS_TYPE, BRANCH_CODE, CLASS_CODE, ENT_BY, ENT_DATE, ENT_BY_IP)</v>
      </c>
      <c r="AP158" s="12" t="str">
        <f t="shared" si="71"/>
        <v>VALUES('08800914','TodaysRequest.aspx', 'USER', '01', '08', 'ABDUL', SYSDATE, '10.6.100.63');</v>
      </c>
    </row>
    <row r="159" spans="1:42" s="6" customFormat="1" ht="76.5" x14ac:dyDescent="0.2">
      <c r="A159" s="4">
        <v>142</v>
      </c>
      <c r="B159" s="5" t="s">
        <v>792</v>
      </c>
      <c r="C159" s="5">
        <v>9000267</v>
      </c>
      <c r="D159" s="6" t="s">
        <v>398</v>
      </c>
      <c r="E159" s="6" t="s">
        <v>314</v>
      </c>
      <c r="F159" s="5" t="s">
        <v>287</v>
      </c>
      <c r="G159" s="6" t="s">
        <v>288</v>
      </c>
      <c r="H159" s="5" t="s">
        <v>649</v>
      </c>
      <c r="I159" s="5">
        <v>674</v>
      </c>
      <c r="J159" s="5" t="s">
        <v>400</v>
      </c>
      <c r="K159" s="6" t="s">
        <v>89</v>
      </c>
      <c r="L159" s="6" t="s">
        <v>47</v>
      </c>
      <c r="M159" s="6" t="s">
        <v>48</v>
      </c>
      <c r="N159" s="7">
        <v>44165</v>
      </c>
      <c r="O159" s="7">
        <v>44136</v>
      </c>
      <c r="P159" s="7">
        <v>44500</v>
      </c>
      <c r="Q159" s="8">
        <v>597</v>
      </c>
      <c r="R159" s="8">
        <v>1103</v>
      </c>
      <c r="S159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59" s="12" t="str">
        <f t="shared" si="49"/>
        <v>VALUES('08801647','TECHNO PACK INDUSTRIES (PRIVATE) LIMITED','Salaam@123','Y','N',sysdate,'016', 'C', 'Client', 'medicalhelp@tpi.com.pk','01','B', '08', 'ABDUL', sysdate, '10.6.100.63', '08801647');</v>
      </c>
      <c r="U159" s="12" t="str">
        <f t="shared" si="50"/>
        <v>INSERT INTO sy_user_branches (USER_CD, BRANCH_CODE, CLASS_CODE, ENT_BY, ENT_DATE, ENT_BY_IP)</v>
      </c>
      <c r="V159" s="12" t="str">
        <f t="shared" si="51"/>
        <v>values('08801647','01', '08', 'ABDUL', sysdate, '10.6.100.63');</v>
      </c>
      <c r="W159" s="12" t="str">
        <f t="shared" si="52"/>
        <v>INSERT INTO sy_perm_list (USER_CD, OPT_CD, ACCESS_TYPE, BRANCH_CODE, CLASS_CODE, ENT_BY, ENT_DATE, ENT_BY_IP)</v>
      </c>
      <c r="X159" s="12" t="str">
        <f t="shared" si="53"/>
        <v>VALUES('08801647','ClaimComments.aspx', 'USER', '01', '08', 'ABDUL', SYSDATE, '10.6.100.63');</v>
      </c>
      <c r="Y159" s="12" t="str">
        <f t="shared" si="54"/>
        <v>INSERT INTO sy_perm_list (USER_CD, OPT_CD, ACCESS_TYPE, BRANCH_CODE, CLASS_CODE, ENT_BY, ENT_DATE, ENT_BY_IP)</v>
      </c>
      <c r="Z159" s="12" t="str">
        <f t="shared" si="55"/>
        <v>VALUES('08801647','ClaimDocs.aspx', 'USER', '01', '08', 'ABDUL', SYSDATE, '10.6.100.63');</v>
      </c>
      <c r="AA159" s="12" t="str">
        <f t="shared" si="56"/>
        <v>INSERT INTO sy_perm_list (USER_CD, OPT_CD, ACCESS_TYPE, BRANCH_CODE, CLASS_CODE, ENT_BY, ENT_DATE, ENT_BY_IP)</v>
      </c>
      <c r="AB159" s="12" t="str">
        <f t="shared" si="57"/>
        <v>VALUES('08801647','Client.aspx', 'USER', '01', '08', 'ABDUL', SYSDATE, '10.6.100.63');</v>
      </c>
      <c r="AC159" s="12" t="str">
        <f t="shared" si="58"/>
        <v>INSERT INTO sy_perm_list (USER_CD, OPT_CD, ACCESS_TYPE, BRANCH_CODE, CLASS_CODE, ENT_BY, ENT_DATE, ENT_BY_IP)</v>
      </c>
      <c r="AD159" s="12" t="str">
        <f t="shared" si="59"/>
        <v>VALUES('08801647','ClientReports.aspx', 'USER', '01', '08', 'ABDUL', SYSDATE, '10.6.100.63');</v>
      </c>
      <c r="AE159" s="12" t="str">
        <f t="shared" si="60"/>
        <v>INSERT INTO sy_perm_list (USER_CD, OPT_CD, ACCESS_TYPE, BRANCH_CODE, CLASS_CODE, ENT_BY, ENT_DATE, ENT_BY_IP)</v>
      </c>
      <c r="AF159" s="12" t="str">
        <f t="shared" si="61"/>
        <v>VALUES('08801647','ClientRequests.aspx', 'USER', '01', '08', 'ABDUL', SYSDATE, '10.6.100.63');</v>
      </c>
      <c r="AG159" s="12" t="str">
        <f t="shared" si="62"/>
        <v>INSERT INTO sy_perm_list (USER_CD, OPT_CD, ACCESS_TYPE, BRANCH_CODE, CLASS_CODE, ENT_BY, ENT_DATE, ENT_BY_IP)</v>
      </c>
      <c r="AH159" s="12" t="str">
        <f t="shared" si="63"/>
        <v>VALUES('08801647','HealthLife.aspx', 'USER', '01', '08', 'ABDUL', SYSDATE, '10.6.100.63');</v>
      </c>
      <c r="AI159" s="12" t="str">
        <f t="shared" si="64"/>
        <v>INSERT INTO sy_perm_list (USER_CD, OPT_CD, ACCESS_TYPE, BRANCH_CODE, CLASS_CODE, ENT_BY, ENT_DATE, ENT_BY_IP)</v>
      </c>
      <c r="AJ159" s="12" t="str">
        <f t="shared" si="65"/>
        <v>VALUES('08801647','IpdClaim.aspx', 'USER', '01', '08', 'ABDUL', SYSDATE, '10.6.100.63');</v>
      </c>
      <c r="AK159" s="12" t="str">
        <f t="shared" si="66"/>
        <v>INSERT INTO sy_perm_list (USER_CD, OPT_CD, ACCESS_TYPE, BRANCH_CODE, CLASS_CODE, ENT_BY, ENT_DATE, ENT_BY_IP)</v>
      </c>
      <c r="AL159" s="12" t="str">
        <f t="shared" si="67"/>
        <v>VALUES('08801647','OpdClaim.aspx', 'USER', '01', '08', 'ABDUL', SYSDATE, '10.6.100.63');</v>
      </c>
      <c r="AM159" s="12" t="str">
        <f t="shared" si="68"/>
        <v>INSERT INTO sy_perm_list (USER_CD, OPT_CD, ACCESS_TYPE, BRANCH_CODE, CLASS_CODE, ENT_BY, ENT_DATE, ENT_BY_IP)</v>
      </c>
      <c r="AN159" s="12" t="str">
        <f t="shared" si="69"/>
        <v>VALUES('08801647','RequestDetails.aspx', 'USER', '01', '08', 'ABDUL', SYSDATE, '10.6.100.63');</v>
      </c>
      <c r="AO159" s="12" t="str">
        <f t="shared" si="70"/>
        <v>INSERT INTO sy_perm_list (USER_CD, OPT_CD, ACCESS_TYPE, BRANCH_CODE, CLASS_CODE, ENT_BY, ENT_DATE, ENT_BY_IP)</v>
      </c>
      <c r="AP159" s="12" t="str">
        <f t="shared" si="71"/>
        <v>VALUES('08801647','TodaysRequest.aspx', 'USER', '01', '08', 'ABDUL', SYSDATE, '10.6.100.63');</v>
      </c>
    </row>
    <row r="160" spans="1:42" s="6" customFormat="1" ht="76.5" x14ac:dyDescent="0.2">
      <c r="A160" s="4">
        <v>143</v>
      </c>
      <c r="B160" s="5" t="s">
        <v>793</v>
      </c>
      <c r="C160" s="5">
        <v>9000244</v>
      </c>
      <c r="D160" s="6" t="s">
        <v>337</v>
      </c>
      <c r="E160" s="6" t="s">
        <v>290</v>
      </c>
      <c r="F160" s="5" t="s">
        <v>287</v>
      </c>
      <c r="G160" s="6" t="s">
        <v>288</v>
      </c>
      <c r="H160" s="5" t="s">
        <v>649</v>
      </c>
      <c r="I160" s="5">
        <v>595</v>
      </c>
      <c r="J160" s="5" t="s">
        <v>338</v>
      </c>
      <c r="K160" s="6" t="s">
        <v>78</v>
      </c>
      <c r="L160" s="6" t="s">
        <v>140</v>
      </c>
      <c r="M160" s="6" t="s">
        <v>817</v>
      </c>
      <c r="N160" s="7">
        <v>44061</v>
      </c>
      <c r="O160" s="7">
        <v>44044</v>
      </c>
      <c r="P160" s="7">
        <v>44408</v>
      </c>
      <c r="Q160" s="8">
        <v>134</v>
      </c>
      <c r="R160" s="8">
        <v>480</v>
      </c>
      <c r="S160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0" s="12" t="str">
        <f t="shared" si="49"/>
        <v>VALUES('08801472','TECHNO-CONSULT INTERNATIONAL (PVT.) LIMITED','Salaam@123','Y','N',sysdate,'016', 'C', 'Client', 'irfan.faridi@waterdivision.com.pk','01','B', '08', 'ABDUL', sysdate, '10.6.100.63', '08801472');</v>
      </c>
      <c r="U160" s="12" t="str">
        <f t="shared" si="50"/>
        <v>INSERT INTO sy_user_branches (USER_CD, BRANCH_CODE, CLASS_CODE, ENT_BY, ENT_DATE, ENT_BY_IP)</v>
      </c>
      <c r="V160" s="12" t="str">
        <f t="shared" si="51"/>
        <v>values('08801472','01', '08', 'ABDUL', sysdate, '10.6.100.63');</v>
      </c>
      <c r="W160" s="12" t="str">
        <f t="shared" si="52"/>
        <v>INSERT INTO sy_perm_list (USER_CD, OPT_CD, ACCESS_TYPE, BRANCH_CODE, CLASS_CODE, ENT_BY, ENT_DATE, ENT_BY_IP)</v>
      </c>
      <c r="X160" s="12" t="str">
        <f t="shared" si="53"/>
        <v>VALUES('08801472','ClaimComments.aspx', 'USER', '01', '08', 'ABDUL', SYSDATE, '10.6.100.63');</v>
      </c>
      <c r="Y160" s="12" t="str">
        <f t="shared" si="54"/>
        <v>INSERT INTO sy_perm_list (USER_CD, OPT_CD, ACCESS_TYPE, BRANCH_CODE, CLASS_CODE, ENT_BY, ENT_DATE, ENT_BY_IP)</v>
      </c>
      <c r="Z160" s="12" t="str">
        <f t="shared" si="55"/>
        <v>VALUES('08801472','ClaimDocs.aspx', 'USER', '01', '08', 'ABDUL', SYSDATE, '10.6.100.63');</v>
      </c>
      <c r="AA160" s="12" t="str">
        <f t="shared" si="56"/>
        <v>INSERT INTO sy_perm_list (USER_CD, OPT_CD, ACCESS_TYPE, BRANCH_CODE, CLASS_CODE, ENT_BY, ENT_DATE, ENT_BY_IP)</v>
      </c>
      <c r="AB160" s="12" t="str">
        <f t="shared" si="57"/>
        <v>VALUES('08801472','Client.aspx', 'USER', '01', '08', 'ABDUL', SYSDATE, '10.6.100.63');</v>
      </c>
      <c r="AC160" s="12" t="str">
        <f t="shared" si="58"/>
        <v>INSERT INTO sy_perm_list (USER_CD, OPT_CD, ACCESS_TYPE, BRANCH_CODE, CLASS_CODE, ENT_BY, ENT_DATE, ENT_BY_IP)</v>
      </c>
      <c r="AD160" s="12" t="str">
        <f t="shared" si="59"/>
        <v>VALUES('08801472','ClientReports.aspx', 'USER', '01', '08', 'ABDUL', SYSDATE, '10.6.100.63');</v>
      </c>
      <c r="AE160" s="12" t="str">
        <f t="shared" si="60"/>
        <v>INSERT INTO sy_perm_list (USER_CD, OPT_CD, ACCESS_TYPE, BRANCH_CODE, CLASS_CODE, ENT_BY, ENT_DATE, ENT_BY_IP)</v>
      </c>
      <c r="AF160" s="12" t="str">
        <f t="shared" si="61"/>
        <v>VALUES('08801472','ClientRequests.aspx', 'USER', '01', '08', 'ABDUL', SYSDATE, '10.6.100.63');</v>
      </c>
      <c r="AG160" s="12" t="str">
        <f t="shared" si="62"/>
        <v>INSERT INTO sy_perm_list (USER_CD, OPT_CD, ACCESS_TYPE, BRANCH_CODE, CLASS_CODE, ENT_BY, ENT_DATE, ENT_BY_IP)</v>
      </c>
      <c r="AH160" s="12" t="str">
        <f t="shared" si="63"/>
        <v>VALUES('08801472','HealthLife.aspx', 'USER', '01', '08', 'ABDUL', SYSDATE, '10.6.100.63');</v>
      </c>
      <c r="AI160" s="12" t="str">
        <f t="shared" si="64"/>
        <v>INSERT INTO sy_perm_list (USER_CD, OPT_CD, ACCESS_TYPE, BRANCH_CODE, CLASS_CODE, ENT_BY, ENT_DATE, ENT_BY_IP)</v>
      </c>
      <c r="AJ160" s="12" t="str">
        <f t="shared" si="65"/>
        <v>VALUES('08801472','IpdClaim.aspx', 'USER', '01', '08', 'ABDUL', SYSDATE, '10.6.100.63');</v>
      </c>
      <c r="AK160" s="12" t="str">
        <f t="shared" si="66"/>
        <v>INSERT INTO sy_perm_list (USER_CD, OPT_CD, ACCESS_TYPE, BRANCH_CODE, CLASS_CODE, ENT_BY, ENT_DATE, ENT_BY_IP)</v>
      </c>
      <c r="AL160" s="12" t="str">
        <f t="shared" si="67"/>
        <v>VALUES('08801472','OpdClaim.aspx', 'USER', '01', '08', 'ABDUL', SYSDATE, '10.6.100.63');</v>
      </c>
      <c r="AM160" s="12" t="str">
        <f t="shared" si="68"/>
        <v>INSERT INTO sy_perm_list (USER_CD, OPT_CD, ACCESS_TYPE, BRANCH_CODE, CLASS_CODE, ENT_BY, ENT_DATE, ENT_BY_IP)</v>
      </c>
      <c r="AN160" s="12" t="str">
        <f t="shared" si="69"/>
        <v>VALUES('08801472','RequestDetails.aspx', 'USER', '01', '08', 'ABDUL', SYSDATE, '10.6.100.63');</v>
      </c>
      <c r="AO160" s="12" t="str">
        <f t="shared" si="70"/>
        <v>INSERT INTO sy_perm_list (USER_CD, OPT_CD, ACCESS_TYPE, BRANCH_CODE, CLASS_CODE, ENT_BY, ENT_DATE, ENT_BY_IP)</v>
      </c>
      <c r="AP160" s="12" t="str">
        <f t="shared" si="71"/>
        <v>VALUES('08801472','TodaysRequest.aspx', 'USER', '01', '08', 'ABDUL', SYSDATE, '10.6.100.63');</v>
      </c>
    </row>
    <row r="161" spans="1:42" s="6" customFormat="1" ht="15.75" thickBot="1" x14ac:dyDescent="0.25">
      <c r="A161" s="4"/>
      <c r="B161" s="5" t="s">
        <v>793</v>
      </c>
      <c r="C161" s="5"/>
      <c r="F161" s="5"/>
      <c r="H161" s="5"/>
      <c r="I161" s="5"/>
      <c r="J161" s="54" t="s">
        <v>1181</v>
      </c>
      <c r="K161" s="6" t="s">
        <v>78</v>
      </c>
      <c r="L161" s="6" t="s">
        <v>140</v>
      </c>
      <c r="M161" s="6" t="s">
        <v>817</v>
      </c>
      <c r="N161" s="7"/>
      <c r="O161" s="7"/>
      <c r="P161" s="7"/>
      <c r="Q161" s="8"/>
      <c r="R161" s="8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</row>
    <row r="162" spans="1:42" s="6" customFormat="1" ht="76.5" x14ac:dyDescent="0.2">
      <c r="A162" s="4">
        <v>144</v>
      </c>
      <c r="B162" s="5" t="s">
        <v>794</v>
      </c>
      <c r="C162" s="5">
        <v>9000257</v>
      </c>
      <c r="D162" s="6" t="s">
        <v>362</v>
      </c>
      <c r="E162" s="6" t="s">
        <v>314</v>
      </c>
      <c r="F162" s="5" t="s">
        <v>287</v>
      </c>
      <c r="G162" s="6" t="s">
        <v>288</v>
      </c>
      <c r="H162" s="5" t="s">
        <v>649</v>
      </c>
      <c r="I162" s="5">
        <v>733</v>
      </c>
      <c r="J162" s="5" t="s">
        <v>448</v>
      </c>
      <c r="K162" s="6" t="s">
        <v>248</v>
      </c>
      <c r="L162" s="6" t="s">
        <v>241</v>
      </c>
      <c r="M162" s="6" t="s">
        <v>242</v>
      </c>
      <c r="N162" s="7">
        <v>44208</v>
      </c>
      <c r="O162" s="7">
        <v>44197</v>
      </c>
      <c r="P162" s="7">
        <v>44561</v>
      </c>
      <c r="Q162" s="8">
        <v>68</v>
      </c>
      <c r="R162" s="8">
        <v>145</v>
      </c>
      <c r="S162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2" s="12" t="str">
        <f t="shared" si="49"/>
        <v>VALUES('08801141','TECHNYX SYSTEMS','Salaam@123','Y','N',sysdate,'016', 'C', 'Client', 'faraz.khan@njfk.org','01','B', '08', 'ABDUL', sysdate, '10.6.100.63', '08801141');</v>
      </c>
      <c r="U162" s="12" t="str">
        <f t="shared" si="50"/>
        <v>INSERT INTO sy_user_branches (USER_CD, BRANCH_CODE, CLASS_CODE, ENT_BY, ENT_DATE, ENT_BY_IP)</v>
      </c>
      <c r="V162" s="12" t="str">
        <f t="shared" si="51"/>
        <v>values('08801141','01', '08', 'ABDUL', sysdate, '10.6.100.63');</v>
      </c>
      <c r="W162" s="12" t="str">
        <f t="shared" si="52"/>
        <v>INSERT INTO sy_perm_list (USER_CD, OPT_CD, ACCESS_TYPE, BRANCH_CODE, CLASS_CODE, ENT_BY, ENT_DATE, ENT_BY_IP)</v>
      </c>
      <c r="X162" s="12" t="str">
        <f t="shared" si="53"/>
        <v>VALUES('08801141','ClaimComments.aspx', 'USER', '01', '08', 'ABDUL', SYSDATE, '10.6.100.63');</v>
      </c>
      <c r="Y162" s="12" t="str">
        <f t="shared" si="54"/>
        <v>INSERT INTO sy_perm_list (USER_CD, OPT_CD, ACCESS_TYPE, BRANCH_CODE, CLASS_CODE, ENT_BY, ENT_DATE, ENT_BY_IP)</v>
      </c>
      <c r="Z162" s="12" t="str">
        <f t="shared" si="55"/>
        <v>VALUES('08801141','ClaimDocs.aspx', 'USER', '01', '08', 'ABDUL', SYSDATE, '10.6.100.63');</v>
      </c>
      <c r="AA162" s="12" t="str">
        <f t="shared" si="56"/>
        <v>INSERT INTO sy_perm_list (USER_CD, OPT_CD, ACCESS_TYPE, BRANCH_CODE, CLASS_CODE, ENT_BY, ENT_DATE, ENT_BY_IP)</v>
      </c>
      <c r="AB162" s="12" t="str">
        <f t="shared" si="57"/>
        <v>VALUES('08801141','Client.aspx', 'USER', '01', '08', 'ABDUL', SYSDATE, '10.6.100.63');</v>
      </c>
      <c r="AC162" s="12" t="str">
        <f t="shared" si="58"/>
        <v>INSERT INTO sy_perm_list (USER_CD, OPT_CD, ACCESS_TYPE, BRANCH_CODE, CLASS_CODE, ENT_BY, ENT_DATE, ENT_BY_IP)</v>
      </c>
      <c r="AD162" s="12" t="str">
        <f t="shared" si="59"/>
        <v>VALUES('08801141','ClientReports.aspx', 'USER', '01', '08', 'ABDUL', SYSDATE, '10.6.100.63');</v>
      </c>
      <c r="AE162" s="12" t="str">
        <f t="shared" si="60"/>
        <v>INSERT INTO sy_perm_list (USER_CD, OPT_CD, ACCESS_TYPE, BRANCH_CODE, CLASS_CODE, ENT_BY, ENT_DATE, ENT_BY_IP)</v>
      </c>
      <c r="AF162" s="12" t="str">
        <f t="shared" si="61"/>
        <v>VALUES('08801141','ClientRequests.aspx', 'USER', '01', '08', 'ABDUL', SYSDATE, '10.6.100.63');</v>
      </c>
      <c r="AG162" s="12" t="str">
        <f t="shared" si="62"/>
        <v>INSERT INTO sy_perm_list (USER_CD, OPT_CD, ACCESS_TYPE, BRANCH_CODE, CLASS_CODE, ENT_BY, ENT_DATE, ENT_BY_IP)</v>
      </c>
      <c r="AH162" s="12" t="str">
        <f t="shared" si="63"/>
        <v>VALUES('08801141','HealthLife.aspx', 'USER', '01', '08', 'ABDUL', SYSDATE, '10.6.100.63');</v>
      </c>
      <c r="AI162" s="12" t="str">
        <f t="shared" si="64"/>
        <v>INSERT INTO sy_perm_list (USER_CD, OPT_CD, ACCESS_TYPE, BRANCH_CODE, CLASS_CODE, ENT_BY, ENT_DATE, ENT_BY_IP)</v>
      </c>
      <c r="AJ162" s="12" t="str">
        <f t="shared" si="65"/>
        <v>VALUES('08801141','IpdClaim.aspx', 'USER', '01', '08', 'ABDUL', SYSDATE, '10.6.100.63');</v>
      </c>
      <c r="AK162" s="12" t="str">
        <f t="shared" si="66"/>
        <v>INSERT INTO sy_perm_list (USER_CD, OPT_CD, ACCESS_TYPE, BRANCH_CODE, CLASS_CODE, ENT_BY, ENT_DATE, ENT_BY_IP)</v>
      </c>
      <c r="AL162" s="12" t="str">
        <f t="shared" si="67"/>
        <v>VALUES('08801141','OpdClaim.aspx', 'USER', '01', '08', 'ABDUL', SYSDATE, '10.6.100.63');</v>
      </c>
      <c r="AM162" s="12" t="str">
        <f t="shared" si="68"/>
        <v>INSERT INTO sy_perm_list (USER_CD, OPT_CD, ACCESS_TYPE, BRANCH_CODE, CLASS_CODE, ENT_BY, ENT_DATE, ENT_BY_IP)</v>
      </c>
      <c r="AN162" s="12" t="str">
        <f t="shared" si="69"/>
        <v>VALUES('08801141','RequestDetails.aspx', 'USER', '01', '08', 'ABDUL', SYSDATE, '10.6.100.63');</v>
      </c>
      <c r="AO162" s="12" t="str">
        <f t="shared" si="70"/>
        <v>INSERT INTO sy_perm_list (USER_CD, OPT_CD, ACCESS_TYPE, BRANCH_CODE, CLASS_CODE, ENT_BY, ENT_DATE, ENT_BY_IP)</v>
      </c>
      <c r="AP162" s="12" t="str">
        <f t="shared" si="71"/>
        <v>VALUES('08801141','TodaysRequest.aspx', 'USER', '01', '08', 'ABDUL', SYSDATE, '10.6.100.63');</v>
      </c>
    </row>
    <row r="163" spans="1:42" s="6" customFormat="1" ht="76.5" x14ac:dyDescent="0.2">
      <c r="A163" s="4">
        <v>145</v>
      </c>
      <c r="B163" s="5" t="s">
        <v>795</v>
      </c>
      <c r="C163" s="5">
        <v>9000266</v>
      </c>
      <c r="D163" s="6" t="s">
        <v>340</v>
      </c>
      <c r="E163" s="6" t="s">
        <v>314</v>
      </c>
      <c r="F163" s="5" t="s">
        <v>287</v>
      </c>
      <c r="G163" s="6" t="s">
        <v>288</v>
      </c>
      <c r="H163" s="5" t="s">
        <v>652</v>
      </c>
      <c r="I163" s="5">
        <v>758</v>
      </c>
      <c r="J163" s="5" t="s">
        <v>474</v>
      </c>
      <c r="K163" s="6" t="s">
        <v>475</v>
      </c>
      <c r="L163" s="6" t="s">
        <v>635</v>
      </c>
      <c r="M163" s="6" t="s">
        <v>636</v>
      </c>
      <c r="N163" s="7">
        <v>44231</v>
      </c>
      <c r="O163" s="7">
        <v>44197</v>
      </c>
      <c r="P163" s="7">
        <v>44561</v>
      </c>
      <c r="Q163" s="8">
        <v>4</v>
      </c>
      <c r="R163" s="8">
        <v>11</v>
      </c>
      <c r="S163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3" s="12" t="str">
        <f t="shared" si="49"/>
        <v>VALUES('08801097','THALES INTERNATIONAL MIDDLE EAST','Salaam@123','Y','N',sysdate,'016', 'C', 'Client', 'kamran.ahmed@thalesgroup.com','01','B', '08', 'ABDUL', sysdate, '10.6.100.63', '08801097');</v>
      </c>
      <c r="U163" s="12" t="str">
        <f t="shared" si="50"/>
        <v>INSERT INTO sy_user_branches (USER_CD, BRANCH_CODE, CLASS_CODE, ENT_BY, ENT_DATE, ENT_BY_IP)</v>
      </c>
      <c r="V163" s="12" t="str">
        <f t="shared" si="51"/>
        <v>values('08801097','01', '08', 'ABDUL', sysdate, '10.6.100.63');</v>
      </c>
      <c r="W163" s="12" t="str">
        <f t="shared" si="52"/>
        <v>INSERT INTO sy_perm_list (USER_CD, OPT_CD, ACCESS_TYPE, BRANCH_CODE, CLASS_CODE, ENT_BY, ENT_DATE, ENT_BY_IP)</v>
      </c>
      <c r="X163" s="12" t="str">
        <f t="shared" si="53"/>
        <v>VALUES('08801097','ClaimComments.aspx', 'USER', '01', '08', 'ABDUL', SYSDATE, '10.6.100.63');</v>
      </c>
      <c r="Y163" s="12" t="str">
        <f t="shared" si="54"/>
        <v>INSERT INTO sy_perm_list (USER_CD, OPT_CD, ACCESS_TYPE, BRANCH_CODE, CLASS_CODE, ENT_BY, ENT_DATE, ENT_BY_IP)</v>
      </c>
      <c r="Z163" s="12" t="str">
        <f t="shared" si="55"/>
        <v>VALUES('08801097','ClaimDocs.aspx', 'USER', '01', '08', 'ABDUL', SYSDATE, '10.6.100.63');</v>
      </c>
      <c r="AA163" s="12" t="str">
        <f t="shared" si="56"/>
        <v>INSERT INTO sy_perm_list (USER_CD, OPT_CD, ACCESS_TYPE, BRANCH_CODE, CLASS_CODE, ENT_BY, ENT_DATE, ENT_BY_IP)</v>
      </c>
      <c r="AB163" s="12" t="str">
        <f t="shared" si="57"/>
        <v>VALUES('08801097','Client.aspx', 'USER', '01', '08', 'ABDUL', SYSDATE, '10.6.100.63');</v>
      </c>
      <c r="AC163" s="12" t="str">
        <f t="shared" si="58"/>
        <v>INSERT INTO sy_perm_list (USER_CD, OPT_CD, ACCESS_TYPE, BRANCH_CODE, CLASS_CODE, ENT_BY, ENT_DATE, ENT_BY_IP)</v>
      </c>
      <c r="AD163" s="12" t="str">
        <f t="shared" si="59"/>
        <v>VALUES('08801097','ClientReports.aspx', 'USER', '01', '08', 'ABDUL', SYSDATE, '10.6.100.63');</v>
      </c>
      <c r="AE163" s="12" t="str">
        <f t="shared" si="60"/>
        <v>INSERT INTO sy_perm_list (USER_CD, OPT_CD, ACCESS_TYPE, BRANCH_CODE, CLASS_CODE, ENT_BY, ENT_DATE, ENT_BY_IP)</v>
      </c>
      <c r="AF163" s="12" t="str">
        <f t="shared" si="61"/>
        <v>VALUES('08801097','ClientRequests.aspx', 'USER', '01', '08', 'ABDUL', SYSDATE, '10.6.100.63');</v>
      </c>
      <c r="AG163" s="12" t="str">
        <f t="shared" si="62"/>
        <v>INSERT INTO sy_perm_list (USER_CD, OPT_CD, ACCESS_TYPE, BRANCH_CODE, CLASS_CODE, ENT_BY, ENT_DATE, ENT_BY_IP)</v>
      </c>
      <c r="AH163" s="12" t="str">
        <f t="shared" si="63"/>
        <v>VALUES('08801097','HealthLife.aspx', 'USER', '01', '08', 'ABDUL', SYSDATE, '10.6.100.63');</v>
      </c>
      <c r="AI163" s="12" t="str">
        <f t="shared" si="64"/>
        <v>INSERT INTO sy_perm_list (USER_CD, OPT_CD, ACCESS_TYPE, BRANCH_CODE, CLASS_CODE, ENT_BY, ENT_DATE, ENT_BY_IP)</v>
      </c>
      <c r="AJ163" s="12" t="str">
        <f t="shared" si="65"/>
        <v>VALUES('08801097','IpdClaim.aspx', 'USER', '01', '08', 'ABDUL', SYSDATE, '10.6.100.63');</v>
      </c>
      <c r="AK163" s="12" t="str">
        <f t="shared" si="66"/>
        <v>INSERT INTO sy_perm_list (USER_CD, OPT_CD, ACCESS_TYPE, BRANCH_CODE, CLASS_CODE, ENT_BY, ENT_DATE, ENT_BY_IP)</v>
      </c>
      <c r="AL163" s="12" t="str">
        <f t="shared" si="67"/>
        <v>VALUES('08801097','OpdClaim.aspx', 'USER', '01', '08', 'ABDUL', SYSDATE, '10.6.100.63');</v>
      </c>
      <c r="AM163" s="12" t="str">
        <f t="shared" si="68"/>
        <v>INSERT INTO sy_perm_list (USER_CD, OPT_CD, ACCESS_TYPE, BRANCH_CODE, CLASS_CODE, ENT_BY, ENT_DATE, ENT_BY_IP)</v>
      </c>
      <c r="AN163" s="12" t="str">
        <f t="shared" si="69"/>
        <v>VALUES('08801097','RequestDetails.aspx', 'USER', '01', '08', 'ABDUL', SYSDATE, '10.6.100.63');</v>
      </c>
      <c r="AO163" s="12" t="str">
        <f t="shared" si="70"/>
        <v>INSERT INTO sy_perm_list (USER_CD, OPT_CD, ACCESS_TYPE, BRANCH_CODE, CLASS_CODE, ENT_BY, ENT_DATE, ENT_BY_IP)</v>
      </c>
      <c r="AP163" s="12" t="str">
        <f t="shared" si="71"/>
        <v>VALUES('08801097','TodaysRequest.aspx', 'USER', '01', '08', 'ABDUL', SYSDATE, '10.6.100.63');</v>
      </c>
    </row>
    <row r="164" spans="1:42" s="6" customFormat="1" ht="76.5" x14ac:dyDescent="0.2">
      <c r="A164" s="4">
        <v>146</v>
      </c>
      <c r="B164" s="5" t="s">
        <v>796</v>
      </c>
      <c r="C164" s="5">
        <v>9000138</v>
      </c>
      <c r="D164" s="6" t="s">
        <v>390</v>
      </c>
      <c r="E164" s="6" t="s">
        <v>299</v>
      </c>
      <c r="F164" s="5" t="s">
        <v>287</v>
      </c>
      <c r="G164" s="6" t="s">
        <v>288</v>
      </c>
      <c r="H164" s="5" t="s">
        <v>650</v>
      </c>
      <c r="I164" s="5">
        <v>712</v>
      </c>
      <c r="J164" s="5" t="s">
        <v>418</v>
      </c>
      <c r="K164" s="6" t="s">
        <v>419</v>
      </c>
      <c r="L164" s="6" t="s">
        <v>637</v>
      </c>
      <c r="M164" s="6" t="s">
        <v>638</v>
      </c>
      <c r="N164" s="7">
        <v>44195</v>
      </c>
      <c r="O164" s="7">
        <v>44186</v>
      </c>
      <c r="P164" s="7">
        <v>44550</v>
      </c>
      <c r="Q164" s="8">
        <v>13</v>
      </c>
      <c r="R164" s="8">
        <v>13</v>
      </c>
      <c r="S164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4" s="12" t="str">
        <f t="shared" si="49"/>
        <v>VALUES('08801691','THINGTRAX','Salaam@123','Y','N',sysdate,'016', 'C', 'Client', 'atiq@thingtrax.com','01','B', '08', 'ABDUL', sysdate, '10.6.100.63', '08801691');</v>
      </c>
      <c r="U164" s="12" t="str">
        <f t="shared" si="50"/>
        <v>INSERT INTO sy_user_branches (USER_CD, BRANCH_CODE, CLASS_CODE, ENT_BY, ENT_DATE, ENT_BY_IP)</v>
      </c>
      <c r="V164" s="12" t="str">
        <f t="shared" si="51"/>
        <v>values('08801691','01', '08', 'ABDUL', sysdate, '10.6.100.63');</v>
      </c>
      <c r="W164" s="12" t="str">
        <f t="shared" si="52"/>
        <v>INSERT INTO sy_perm_list (USER_CD, OPT_CD, ACCESS_TYPE, BRANCH_CODE, CLASS_CODE, ENT_BY, ENT_DATE, ENT_BY_IP)</v>
      </c>
      <c r="X164" s="12" t="str">
        <f t="shared" si="53"/>
        <v>VALUES('08801691','ClaimComments.aspx', 'USER', '01', '08', 'ABDUL', SYSDATE, '10.6.100.63');</v>
      </c>
      <c r="Y164" s="12" t="str">
        <f t="shared" si="54"/>
        <v>INSERT INTO sy_perm_list (USER_CD, OPT_CD, ACCESS_TYPE, BRANCH_CODE, CLASS_CODE, ENT_BY, ENT_DATE, ENT_BY_IP)</v>
      </c>
      <c r="Z164" s="12" t="str">
        <f t="shared" si="55"/>
        <v>VALUES('08801691','ClaimDocs.aspx', 'USER', '01', '08', 'ABDUL', SYSDATE, '10.6.100.63');</v>
      </c>
      <c r="AA164" s="12" t="str">
        <f t="shared" si="56"/>
        <v>INSERT INTO sy_perm_list (USER_CD, OPT_CD, ACCESS_TYPE, BRANCH_CODE, CLASS_CODE, ENT_BY, ENT_DATE, ENT_BY_IP)</v>
      </c>
      <c r="AB164" s="12" t="str">
        <f t="shared" si="57"/>
        <v>VALUES('08801691','Client.aspx', 'USER', '01', '08', 'ABDUL', SYSDATE, '10.6.100.63');</v>
      </c>
      <c r="AC164" s="12" t="str">
        <f t="shared" si="58"/>
        <v>INSERT INTO sy_perm_list (USER_CD, OPT_CD, ACCESS_TYPE, BRANCH_CODE, CLASS_CODE, ENT_BY, ENT_DATE, ENT_BY_IP)</v>
      </c>
      <c r="AD164" s="12" t="str">
        <f t="shared" si="59"/>
        <v>VALUES('08801691','ClientReports.aspx', 'USER', '01', '08', 'ABDUL', SYSDATE, '10.6.100.63');</v>
      </c>
      <c r="AE164" s="12" t="str">
        <f t="shared" si="60"/>
        <v>INSERT INTO sy_perm_list (USER_CD, OPT_CD, ACCESS_TYPE, BRANCH_CODE, CLASS_CODE, ENT_BY, ENT_DATE, ENT_BY_IP)</v>
      </c>
      <c r="AF164" s="12" t="str">
        <f t="shared" si="61"/>
        <v>VALUES('08801691','ClientRequests.aspx', 'USER', '01', '08', 'ABDUL', SYSDATE, '10.6.100.63');</v>
      </c>
      <c r="AG164" s="12" t="str">
        <f t="shared" si="62"/>
        <v>INSERT INTO sy_perm_list (USER_CD, OPT_CD, ACCESS_TYPE, BRANCH_CODE, CLASS_CODE, ENT_BY, ENT_DATE, ENT_BY_IP)</v>
      </c>
      <c r="AH164" s="12" t="str">
        <f t="shared" si="63"/>
        <v>VALUES('08801691','HealthLife.aspx', 'USER', '01', '08', 'ABDUL', SYSDATE, '10.6.100.63');</v>
      </c>
      <c r="AI164" s="12" t="str">
        <f t="shared" si="64"/>
        <v>INSERT INTO sy_perm_list (USER_CD, OPT_CD, ACCESS_TYPE, BRANCH_CODE, CLASS_CODE, ENT_BY, ENT_DATE, ENT_BY_IP)</v>
      </c>
      <c r="AJ164" s="12" t="str">
        <f t="shared" si="65"/>
        <v>VALUES('08801691','IpdClaim.aspx', 'USER', '01', '08', 'ABDUL', SYSDATE, '10.6.100.63');</v>
      </c>
      <c r="AK164" s="12" t="str">
        <f t="shared" si="66"/>
        <v>INSERT INTO sy_perm_list (USER_CD, OPT_CD, ACCESS_TYPE, BRANCH_CODE, CLASS_CODE, ENT_BY, ENT_DATE, ENT_BY_IP)</v>
      </c>
      <c r="AL164" s="12" t="str">
        <f t="shared" si="67"/>
        <v>VALUES('08801691','OpdClaim.aspx', 'USER', '01', '08', 'ABDUL', SYSDATE, '10.6.100.63');</v>
      </c>
      <c r="AM164" s="12" t="str">
        <f t="shared" si="68"/>
        <v>INSERT INTO sy_perm_list (USER_CD, OPT_CD, ACCESS_TYPE, BRANCH_CODE, CLASS_CODE, ENT_BY, ENT_DATE, ENT_BY_IP)</v>
      </c>
      <c r="AN164" s="12" t="str">
        <f t="shared" si="69"/>
        <v>VALUES('08801691','RequestDetails.aspx', 'USER', '01', '08', 'ABDUL', SYSDATE, '10.6.100.63');</v>
      </c>
      <c r="AO164" s="12" t="str">
        <f t="shared" si="70"/>
        <v>INSERT INTO sy_perm_list (USER_CD, OPT_CD, ACCESS_TYPE, BRANCH_CODE, CLASS_CODE, ENT_BY, ENT_DATE, ENT_BY_IP)</v>
      </c>
      <c r="AP164" s="12" t="str">
        <f t="shared" si="71"/>
        <v>VALUES('08801691','TodaysRequest.aspx', 'USER', '01', '08', 'ABDUL', SYSDATE, '10.6.100.63');</v>
      </c>
    </row>
    <row r="165" spans="1:42" s="6" customFormat="1" ht="76.5" x14ac:dyDescent="0.2">
      <c r="A165" s="4">
        <v>147</v>
      </c>
      <c r="B165" s="5" t="s">
        <v>797</v>
      </c>
      <c r="C165" s="5">
        <v>9000221</v>
      </c>
      <c r="D165" s="6" t="s">
        <v>285</v>
      </c>
      <c r="E165" s="6" t="s">
        <v>286</v>
      </c>
      <c r="F165" s="5" t="s">
        <v>287</v>
      </c>
      <c r="G165" s="6" t="s">
        <v>288</v>
      </c>
      <c r="H165" s="5" t="s">
        <v>649</v>
      </c>
      <c r="I165" s="5">
        <v>600</v>
      </c>
      <c r="J165" s="5" t="s">
        <v>344</v>
      </c>
      <c r="K165" s="6" t="s">
        <v>9</v>
      </c>
      <c r="L165" s="6" t="s">
        <v>105</v>
      </c>
      <c r="M165" s="6" t="s">
        <v>106</v>
      </c>
      <c r="N165" s="7">
        <v>44075</v>
      </c>
      <c r="O165" s="7">
        <v>44044</v>
      </c>
      <c r="P165" s="7">
        <v>44408</v>
      </c>
      <c r="Q165" s="8">
        <v>315</v>
      </c>
      <c r="R165" s="8">
        <v>862</v>
      </c>
      <c r="S165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5" s="12" t="str">
        <f t="shared" si="49"/>
        <v>VALUES('08004891','TOYOTA CENTRAL MOTORS','Salaam@123','Y','N',sysdate,'016', 'C', 'Client', 'admin@toyota-central.com','01','B', '08', 'ABDUL', sysdate, '10.6.100.63', '08004891');</v>
      </c>
      <c r="U165" s="12" t="str">
        <f t="shared" si="50"/>
        <v>INSERT INTO sy_user_branches (USER_CD, BRANCH_CODE, CLASS_CODE, ENT_BY, ENT_DATE, ENT_BY_IP)</v>
      </c>
      <c r="V165" s="12" t="str">
        <f t="shared" si="51"/>
        <v>values('08004891','01', '08', 'ABDUL', sysdate, '10.6.100.63');</v>
      </c>
      <c r="W165" s="12" t="str">
        <f t="shared" si="52"/>
        <v>INSERT INTO sy_perm_list (USER_CD, OPT_CD, ACCESS_TYPE, BRANCH_CODE, CLASS_CODE, ENT_BY, ENT_DATE, ENT_BY_IP)</v>
      </c>
      <c r="X165" s="12" t="str">
        <f t="shared" si="53"/>
        <v>VALUES('08004891','ClaimComments.aspx', 'USER', '01', '08', 'ABDUL', SYSDATE, '10.6.100.63');</v>
      </c>
      <c r="Y165" s="12" t="str">
        <f t="shared" si="54"/>
        <v>INSERT INTO sy_perm_list (USER_CD, OPT_CD, ACCESS_TYPE, BRANCH_CODE, CLASS_CODE, ENT_BY, ENT_DATE, ENT_BY_IP)</v>
      </c>
      <c r="Z165" s="12" t="str">
        <f t="shared" si="55"/>
        <v>VALUES('08004891','ClaimDocs.aspx', 'USER', '01', '08', 'ABDUL', SYSDATE, '10.6.100.63');</v>
      </c>
      <c r="AA165" s="12" t="str">
        <f t="shared" si="56"/>
        <v>INSERT INTO sy_perm_list (USER_CD, OPT_CD, ACCESS_TYPE, BRANCH_CODE, CLASS_CODE, ENT_BY, ENT_DATE, ENT_BY_IP)</v>
      </c>
      <c r="AB165" s="12" t="str">
        <f t="shared" si="57"/>
        <v>VALUES('08004891','Client.aspx', 'USER', '01', '08', 'ABDUL', SYSDATE, '10.6.100.63');</v>
      </c>
      <c r="AC165" s="12" t="str">
        <f t="shared" si="58"/>
        <v>INSERT INTO sy_perm_list (USER_CD, OPT_CD, ACCESS_TYPE, BRANCH_CODE, CLASS_CODE, ENT_BY, ENT_DATE, ENT_BY_IP)</v>
      </c>
      <c r="AD165" s="12" t="str">
        <f t="shared" si="59"/>
        <v>VALUES('08004891','ClientReports.aspx', 'USER', '01', '08', 'ABDUL', SYSDATE, '10.6.100.63');</v>
      </c>
      <c r="AE165" s="12" t="str">
        <f t="shared" si="60"/>
        <v>INSERT INTO sy_perm_list (USER_CD, OPT_CD, ACCESS_TYPE, BRANCH_CODE, CLASS_CODE, ENT_BY, ENT_DATE, ENT_BY_IP)</v>
      </c>
      <c r="AF165" s="12" t="str">
        <f t="shared" si="61"/>
        <v>VALUES('08004891','ClientRequests.aspx', 'USER', '01', '08', 'ABDUL', SYSDATE, '10.6.100.63');</v>
      </c>
      <c r="AG165" s="12" t="str">
        <f t="shared" si="62"/>
        <v>INSERT INTO sy_perm_list (USER_CD, OPT_CD, ACCESS_TYPE, BRANCH_CODE, CLASS_CODE, ENT_BY, ENT_DATE, ENT_BY_IP)</v>
      </c>
      <c r="AH165" s="12" t="str">
        <f t="shared" si="63"/>
        <v>VALUES('08004891','HealthLife.aspx', 'USER', '01', '08', 'ABDUL', SYSDATE, '10.6.100.63');</v>
      </c>
      <c r="AI165" s="12" t="str">
        <f t="shared" si="64"/>
        <v>INSERT INTO sy_perm_list (USER_CD, OPT_CD, ACCESS_TYPE, BRANCH_CODE, CLASS_CODE, ENT_BY, ENT_DATE, ENT_BY_IP)</v>
      </c>
      <c r="AJ165" s="12" t="str">
        <f t="shared" si="65"/>
        <v>VALUES('08004891','IpdClaim.aspx', 'USER', '01', '08', 'ABDUL', SYSDATE, '10.6.100.63');</v>
      </c>
      <c r="AK165" s="12" t="str">
        <f t="shared" si="66"/>
        <v>INSERT INTO sy_perm_list (USER_CD, OPT_CD, ACCESS_TYPE, BRANCH_CODE, CLASS_CODE, ENT_BY, ENT_DATE, ENT_BY_IP)</v>
      </c>
      <c r="AL165" s="12" t="str">
        <f t="shared" si="67"/>
        <v>VALUES('08004891','OpdClaim.aspx', 'USER', '01', '08', 'ABDUL', SYSDATE, '10.6.100.63');</v>
      </c>
      <c r="AM165" s="12" t="str">
        <f t="shared" si="68"/>
        <v>INSERT INTO sy_perm_list (USER_CD, OPT_CD, ACCESS_TYPE, BRANCH_CODE, CLASS_CODE, ENT_BY, ENT_DATE, ENT_BY_IP)</v>
      </c>
      <c r="AN165" s="12" t="str">
        <f t="shared" si="69"/>
        <v>VALUES('08004891','RequestDetails.aspx', 'USER', '01', '08', 'ABDUL', SYSDATE, '10.6.100.63');</v>
      </c>
      <c r="AO165" s="12" t="str">
        <f t="shared" si="70"/>
        <v>INSERT INTO sy_perm_list (USER_CD, OPT_CD, ACCESS_TYPE, BRANCH_CODE, CLASS_CODE, ENT_BY, ENT_DATE, ENT_BY_IP)</v>
      </c>
      <c r="AP165" s="12" t="str">
        <f t="shared" si="71"/>
        <v>VALUES('08004891','TodaysRequest.aspx', 'USER', '01', '08', 'ABDUL', SYSDATE, '10.6.100.63');</v>
      </c>
    </row>
    <row r="166" spans="1:42" s="6" customFormat="1" ht="76.5" x14ac:dyDescent="0.2">
      <c r="A166" s="4">
        <v>148</v>
      </c>
      <c r="B166" s="5" t="s">
        <v>798</v>
      </c>
      <c r="C166" s="5">
        <v>9000280</v>
      </c>
      <c r="D166" s="6" t="s">
        <v>511</v>
      </c>
      <c r="E166" s="6" t="s">
        <v>299</v>
      </c>
      <c r="F166" s="5" t="s">
        <v>287</v>
      </c>
      <c r="G166" s="6" t="s">
        <v>288</v>
      </c>
      <c r="H166" s="5" t="s">
        <v>649</v>
      </c>
      <c r="I166" s="5">
        <v>796</v>
      </c>
      <c r="J166" s="5" t="s">
        <v>512</v>
      </c>
      <c r="K166" s="6" t="s">
        <v>513</v>
      </c>
      <c r="L166" s="6" t="s">
        <v>259</v>
      </c>
      <c r="M166" s="6" t="s">
        <v>260</v>
      </c>
      <c r="N166" s="7">
        <v>44256</v>
      </c>
      <c r="O166" s="7">
        <v>44256</v>
      </c>
      <c r="P166" s="7">
        <v>44620</v>
      </c>
      <c r="Q166" s="8">
        <v>41</v>
      </c>
      <c r="R166" s="8">
        <v>112</v>
      </c>
      <c r="S166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6" s="12" t="str">
        <f t="shared" si="49"/>
        <v>VALUES('08801791','TRANSLOGISTIC SEA &amp; AIR COMPANY','Salaam@123','Y','N',sysdate,'016', 'C', 'Client', 'sylvester@ravian.ae','01','B', '08', 'ABDUL', sysdate, '10.6.100.63', '08801791');</v>
      </c>
      <c r="U166" s="12" t="str">
        <f t="shared" si="50"/>
        <v>INSERT INTO sy_user_branches (USER_CD, BRANCH_CODE, CLASS_CODE, ENT_BY, ENT_DATE, ENT_BY_IP)</v>
      </c>
      <c r="V166" s="12" t="str">
        <f t="shared" si="51"/>
        <v>values('08801791','01', '08', 'ABDUL', sysdate, '10.6.100.63');</v>
      </c>
      <c r="W166" s="12" t="str">
        <f t="shared" si="52"/>
        <v>INSERT INTO sy_perm_list (USER_CD, OPT_CD, ACCESS_TYPE, BRANCH_CODE, CLASS_CODE, ENT_BY, ENT_DATE, ENT_BY_IP)</v>
      </c>
      <c r="X166" s="12" t="str">
        <f t="shared" si="53"/>
        <v>VALUES('08801791','ClaimComments.aspx', 'USER', '01', '08', 'ABDUL', SYSDATE, '10.6.100.63');</v>
      </c>
      <c r="Y166" s="12" t="str">
        <f t="shared" si="54"/>
        <v>INSERT INTO sy_perm_list (USER_CD, OPT_CD, ACCESS_TYPE, BRANCH_CODE, CLASS_CODE, ENT_BY, ENT_DATE, ENT_BY_IP)</v>
      </c>
      <c r="Z166" s="12" t="str">
        <f t="shared" si="55"/>
        <v>VALUES('08801791','ClaimDocs.aspx', 'USER', '01', '08', 'ABDUL', SYSDATE, '10.6.100.63');</v>
      </c>
      <c r="AA166" s="12" t="str">
        <f t="shared" si="56"/>
        <v>INSERT INTO sy_perm_list (USER_CD, OPT_CD, ACCESS_TYPE, BRANCH_CODE, CLASS_CODE, ENT_BY, ENT_DATE, ENT_BY_IP)</v>
      </c>
      <c r="AB166" s="12" t="str">
        <f t="shared" si="57"/>
        <v>VALUES('08801791','Client.aspx', 'USER', '01', '08', 'ABDUL', SYSDATE, '10.6.100.63');</v>
      </c>
      <c r="AC166" s="12" t="str">
        <f t="shared" si="58"/>
        <v>INSERT INTO sy_perm_list (USER_CD, OPT_CD, ACCESS_TYPE, BRANCH_CODE, CLASS_CODE, ENT_BY, ENT_DATE, ENT_BY_IP)</v>
      </c>
      <c r="AD166" s="12" t="str">
        <f t="shared" si="59"/>
        <v>VALUES('08801791','ClientReports.aspx', 'USER', '01', '08', 'ABDUL', SYSDATE, '10.6.100.63');</v>
      </c>
      <c r="AE166" s="12" t="str">
        <f t="shared" si="60"/>
        <v>INSERT INTO sy_perm_list (USER_CD, OPT_CD, ACCESS_TYPE, BRANCH_CODE, CLASS_CODE, ENT_BY, ENT_DATE, ENT_BY_IP)</v>
      </c>
      <c r="AF166" s="12" t="str">
        <f t="shared" si="61"/>
        <v>VALUES('08801791','ClientRequests.aspx', 'USER', '01', '08', 'ABDUL', SYSDATE, '10.6.100.63');</v>
      </c>
      <c r="AG166" s="12" t="str">
        <f t="shared" si="62"/>
        <v>INSERT INTO sy_perm_list (USER_CD, OPT_CD, ACCESS_TYPE, BRANCH_CODE, CLASS_CODE, ENT_BY, ENT_DATE, ENT_BY_IP)</v>
      </c>
      <c r="AH166" s="12" t="str">
        <f t="shared" si="63"/>
        <v>VALUES('08801791','HealthLife.aspx', 'USER', '01', '08', 'ABDUL', SYSDATE, '10.6.100.63');</v>
      </c>
      <c r="AI166" s="12" t="str">
        <f t="shared" si="64"/>
        <v>INSERT INTO sy_perm_list (USER_CD, OPT_CD, ACCESS_TYPE, BRANCH_CODE, CLASS_CODE, ENT_BY, ENT_DATE, ENT_BY_IP)</v>
      </c>
      <c r="AJ166" s="12" t="str">
        <f t="shared" si="65"/>
        <v>VALUES('08801791','IpdClaim.aspx', 'USER', '01', '08', 'ABDUL', SYSDATE, '10.6.100.63');</v>
      </c>
      <c r="AK166" s="12" t="str">
        <f t="shared" si="66"/>
        <v>INSERT INTO sy_perm_list (USER_CD, OPT_CD, ACCESS_TYPE, BRANCH_CODE, CLASS_CODE, ENT_BY, ENT_DATE, ENT_BY_IP)</v>
      </c>
      <c r="AL166" s="12" t="str">
        <f t="shared" si="67"/>
        <v>VALUES('08801791','OpdClaim.aspx', 'USER', '01', '08', 'ABDUL', SYSDATE, '10.6.100.63');</v>
      </c>
      <c r="AM166" s="12" t="str">
        <f t="shared" si="68"/>
        <v>INSERT INTO sy_perm_list (USER_CD, OPT_CD, ACCESS_TYPE, BRANCH_CODE, CLASS_CODE, ENT_BY, ENT_DATE, ENT_BY_IP)</v>
      </c>
      <c r="AN166" s="12" t="str">
        <f t="shared" si="69"/>
        <v>VALUES('08801791','RequestDetails.aspx', 'USER', '01', '08', 'ABDUL', SYSDATE, '10.6.100.63');</v>
      </c>
      <c r="AO166" s="12" t="str">
        <f t="shared" si="70"/>
        <v>INSERT INTO sy_perm_list (USER_CD, OPT_CD, ACCESS_TYPE, BRANCH_CODE, CLASS_CODE, ENT_BY, ENT_DATE, ENT_BY_IP)</v>
      </c>
      <c r="AP166" s="12" t="str">
        <f t="shared" si="71"/>
        <v>VALUES('08801791','TodaysRequest.aspx', 'USER', '01', '08', 'ABDUL', SYSDATE, '10.6.100.63');</v>
      </c>
    </row>
    <row r="167" spans="1:42" s="6" customFormat="1" ht="76.5" x14ac:dyDescent="0.2">
      <c r="A167" s="4">
        <v>149</v>
      </c>
      <c r="B167" s="5" t="s">
        <v>799</v>
      </c>
      <c r="C167" s="5">
        <v>9000244</v>
      </c>
      <c r="D167" s="6" t="s">
        <v>337</v>
      </c>
      <c r="E167" s="6" t="s">
        <v>290</v>
      </c>
      <c r="F167" s="5" t="s">
        <v>287</v>
      </c>
      <c r="G167" s="6" t="s">
        <v>288</v>
      </c>
      <c r="H167" s="5" t="s">
        <v>649</v>
      </c>
      <c r="I167" s="5">
        <v>744</v>
      </c>
      <c r="J167" s="5" t="s">
        <v>457</v>
      </c>
      <c r="K167" s="6" t="s">
        <v>458</v>
      </c>
      <c r="L167" s="6" t="s">
        <v>184</v>
      </c>
      <c r="M167" s="6" t="s">
        <v>185</v>
      </c>
      <c r="N167" s="7">
        <v>44223</v>
      </c>
      <c r="O167" s="7">
        <v>44197</v>
      </c>
      <c r="P167" s="7">
        <v>44561</v>
      </c>
      <c r="Q167" s="8">
        <v>74</v>
      </c>
      <c r="R167" s="8">
        <v>164</v>
      </c>
      <c r="S167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7" s="12" t="str">
        <f t="shared" si="49"/>
        <v>VALUES('08801134','TRAVELUP PAKISTAN OPERATIONS (PVT) LTD','Salaam@123','Y','N',sysdate,'016', 'C', 'Client', 'ammad@travelup.co.uk','01','B', '08', 'ABDUL', sysdate, '10.6.100.63', '08801134');</v>
      </c>
      <c r="U167" s="12" t="str">
        <f t="shared" si="50"/>
        <v>INSERT INTO sy_user_branches (USER_CD, BRANCH_CODE, CLASS_CODE, ENT_BY, ENT_DATE, ENT_BY_IP)</v>
      </c>
      <c r="V167" s="12" t="str">
        <f t="shared" si="51"/>
        <v>values('08801134','01', '08', 'ABDUL', sysdate, '10.6.100.63');</v>
      </c>
      <c r="W167" s="12" t="str">
        <f t="shared" si="52"/>
        <v>INSERT INTO sy_perm_list (USER_CD, OPT_CD, ACCESS_TYPE, BRANCH_CODE, CLASS_CODE, ENT_BY, ENT_DATE, ENT_BY_IP)</v>
      </c>
      <c r="X167" s="12" t="str">
        <f t="shared" si="53"/>
        <v>VALUES('08801134','ClaimComments.aspx', 'USER', '01', '08', 'ABDUL', SYSDATE, '10.6.100.63');</v>
      </c>
      <c r="Y167" s="12" t="str">
        <f t="shared" si="54"/>
        <v>INSERT INTO sy_perm_list (USER_CD, OPT_CD, ACCESS_TYPE, BRANCH_CODE, CLASS_CODE, ENT_BY, ENT_DATE, ENT_BY_IP)</v>
      </c>
      <c r="Z167" s="12" t="str">
        <f t="shared" si="55"/>
        <v>VALUES('08801134','ClaimDocs.aspx', 'USER', '01', '08', 'ABDUL', SYSDATE, '10.6.100.63');</v>
      </c>
      <c r="AA167" s="12" t="str">
        <f t="shared" si="56"/>
        <v>INSERT INTO sy_perm_list (USER_CD, OPT_CD, ACCESS_TYPE, BRANCH_CODE, CLASS_CODE, ENT_BY, ENT_DATE, ENT_BY_IP)</v>
      </c>
      <c r="AB167" s="12" t="str">
        <f t="shared" si="57"/>
        <v>VALUES('08801134','Client.aspx', 'USER', '01', '08', 'ABDUL', SYSDATE, '10.6.100.63');</v>
      </c>
      <c r="AC167" s="12" t="str">
        <f t="shared" si="58"/>
        <v>INSERT INTO sy_perm_list (USER_CD, OPT_CD, ACCESS_TYPE, BRANCH_CODE, CLASS_CODE, ENT_BY, ENT_DATE, ENT_BY_IP)</v>
      </c>
      <c r="AD167" s="12" t="str">
        <f t="shared" si="59"/>
        <v>VALUES('08801134','ClientReports.aspx', 'USER', '01', '08', 'ABDUL', SYSDATE, '10.6.100.63');</v>
      </c>
      <c r="AE167" s="12" t="str">
        <f t="shared" si="60"/>
        <v>INSERT INTO sy_perm_list (USER_CD, OPT_CD, ACCESS_TYPE, BRANCH_CODE, CLASS_CODE, ENT_BY, ENT_DATE, ENT_BY_IP)</v>
      </c>
      <c r="AF167" s="12" t="str">
        <f t="shared" si="61"/>
        <v>VALUES('08801134','ClientRequests.aspx', 'USER', '01', '08', 'ABDUL', SYSDATE, '10.6.100.63');</v>
      </c>
      <c r="AG167" s="12" t="str">
        <f t="shared" si="62"/>
        <v>INSERT INTO sy_perm_list (USER_CD, OPT_CD, ACCESS_TYPE, BRANCH_CODE, CLASS_CODE, ENT_BY, ENT_DATE, ENT_BY_IP)</v>
      </c>
      <c r="AH167" s="12" t="str">
        <f t="shared" si="63"/>
        <v>VALUES('08801134','HealthLife.aspx', 'USER', '01', '08', 'ABDUL', SYSDATE, '10.6.100.63');</v>
      </c>
      <c r="AI167" s="12" t="str">
        <f t="shared" si="64"/>
        <v>INSERT INTO sy_perm_list (USER_CD, OPT_CD, ACCESS_TYPE, BRANCH_CODE, CLASS_CODE, ENT_BY, ENT_DATE, ENT_BY_IP)</v>
      </c>
      <c r="AJ167" s="12" t="str">
        <f t="shared" si="65"/>
        <v>VALUES('08801134','IpdClaim.aspx', 'USER', '01', '08', 'ABDUL', SYSDATE, '10.6.100.63');</v>
      </c>
      <c r="AK167" s="12" t="str">
        <f t="shared" si="66"/>
        <v>INSERT INTO sy_perm_list (USER_CD, OPT_CD, ACCESS_TYPE, BRANCH_CODE, CLASS_CODE, ENT_BY, ENT_DATE, ENT_BY_IP)</v>
      </c>
      <c r="AL167" s="12" t="str">
        <f t="shared" si="67"/>
        <v>VALUES('08801134','OpdClaim.aspx', 'USER', '01', '08', 'ABDUL', SYSDATE, '10.6.100.63');</v>
      </c>
      <c r="AM167" s="12" t="str">
        <f t="shared" si="68"/>
        <v>INSERT INTO sy_perm_list (USER_CD, OPT_CD, ACCESS_TYPE, BRANCH_CODE, CLASS_CODE, ENT_BY, ENT_DATE, ENT_BY_IP)</v>
      </c>
      <c r="AN167" s="12" t="str">
        <f t="shared" si="69"/>
        <v>VALUES('08801134','RequestDetails.aspx', 'USER', '01', '08', 'ABDUL', SYSDATE, '10.6.100.63');</v>
      </c>
      <c r="AO167" s="12" t="str">
        <f t="shared" si="70"/>
        <v>INSERT INTO sy_perm_list (USER_CD, OPT_CD, ACCESS_TYPE, BRANCH_CODE, CLASS_CODE, ENT_BY, ENT_DATE, ENT_BY_IP)</v>
      </c>
      <c r="AP167" s="12" t="str">
        <f t="shared" si="71"/>
        <v>VALUES('08801134','TodaysRequest.aspx', 'USER', '01', '08', 'ABDUL', SYSDATE, '10.6.100.63');</v>
      </c>
    </row>
    <row r="168" spans="1:42" s="6" customFormat="1" ht="76.5" x14ac:dyDescent="0.2">
      <c r="A168" s="4">
        <v>150</v>
      </c>
      <c r="B168" s="5" t="s">
        <v>800</v>
      </c>
      <c r="C168" s="5">
        <v>9000248</v>
      </c>
      <c r="D168" s="6" t="s">
        <v>293</v>
      </c>
      <c r="E168" s="6" t="s">
        <v>290</v>
      </c>
      <c r="F168" s="5" t="s">
        <v>287</v>
      </c>
      <c r="G168" s="6" t="s">
        <v>288</v>
      </c>
      <c r="H168" s="5" t="s">
        <v>652</v>
      </c>
      <c r="I168" s="5">
        <v>531</v>
      </c>
      <c r="J168" s="5" t="s">
        <v>294</v>
      </c>
      <c r="K168" s="6" t="s">
        <v>295</v>
      </c>
      <c r="L168" s="6" t="s">
        <v>639</v>
      </c>
      <c r="M168" s="6" t="s">
        <v>640</v>
      </c>
      <c r="N168" s="7">
        <v>43945</v>
      </c>
      <c r="O168" s="7">
        <v>43943</v>
      </c>
      <c r="P168" s="7">
        <v>44307</v>
      </c>
      <c r="Q168" s="8">
        <v>15</v>
      </c>
      <c r="R168" s="8">
        <v>50</v>
      </c>
      <c r="S168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8" s="12" t="str">
        <f t="shared" si="49"/>
        <v>VALUES('08801309','TROVICOR (SMC-PVT.) LIMITED','Salaam@123','Y','N',sysdate,'016', 'C', 'Client', 'hidayat.khan@trovicor.com','01','B', '08', 'ABDUL', sysdate, '10.6.100.63', '08801309');</v>
      </c>
      <c r="U168" s="12" t="str">
        <f t="shared" si="50"/>
        <v>INSERT INTO sy_user_branches (USER_CD, BRANCH_CODE, CLASS_CODE, ENT_BY, ENT_DATE, ENT_BY_IP)</v>
      </c>
      <c r="V168" s="12" t="str">
        <f t="shared" si="51"/>
        <v>values('08801309','01', '08', 'ABDUL', sysdate, '10.6.100.63');</v>
      </c>
      <c r="W168" s="12" t="str">
        <f t="shared" si="52"/>
        <v>INSERT INTO sy_perm_list (USER_CD, OPT_CD, ACCESS_TYPE, BRANCH_CODE, CLASS_CODE, ENT_BY, ENT_DATE, ENT_BY_IP)</v>
      </c>
      <c r="X168" s="12" t="str">
        <f t="shared" si="53"/>
        <v>VALUES('08801309','ClaimComments.aspx', 'USER', '01', '08', 'ABDUL', SYSDATE, '10.6.100.63');</v>
      </c>
      <c r="Y168" s="12" t="str">
        <f t="shared" si="54"/>
        <v>INSERT INTO sy_perm_list (USER_CD, OPT_CD, ACCESS_TYPE, BRANCH_CODE, CLASS_CODE, ENT_BY, ENT_DATE, ENT_BY_IP)</v>
      </c>
      <c r="Z168" s="12" t="str">
        <f t="shared" si="55"/>
        <v>VALUES('08801309','ClaimDocs.aspx', 'USER', '01', '08', 'ABDUL', SYSDATE, '10.6.100.63');</v>
      </c>
      <c r="AA168" s="12" t="str">
        <f t="shared" si="56"/>
        <v>INSERT INTO sy_perm_list (USER_CD, OPT_CD, ACCESS_TYPE, BRANCH_CODE, CLASS_CODE, ENT_BY, ENT_DATE, ENT_BY_IP)</v>
      </c>
      <c r="AB168" s="12" t="str">
        <f t="shared" si="57"/>
        <v>VALUES('08801309','Client.aspx', 'USER', '01', '08', 'ABDUL', SYSDATE, '10.6.100.63');</v>
      </c>
      <c r="AC168" s="12" t="str">
        <f t="shared" si="58"/>
        <v>INSERT INTO sy_perm_list (USER_CD, OPT_CD, ACCESS_TYPE, BRANCH_CODE, CLASS_CODE, ENT_BY, ENT_DATE, ENT_BY_IP)</v>
      </c>
      <c r="AD168" s="12" t="str">
        <f t="shared" si="59"/>
        <v>VALUES('08801309','ClientReports.aspx', 'USER', '01', '08', 'ABDUL', SYSDATE, '10.6.100.63');</v>
      </c>
      <c r="AE168" s="12" t="str">
        <f t="shared" si="60"/>
        <v>INSERT INTO sy_perm_list (USER_CD, OPT_CD, ACCESS_TYPE, BRANCH_CODE, CLASS_CODE, ENT_BY, ENT_DATE, ENT_BY_IP)</v>
      </c>
      <c r="AF168" s="12" t="str">
        <f t="shared" si="61"/>
        <v>VALUES('08801309','ClientRequests.aspx', 'USER', '01', '08', 'ABDUL', SYSDATE, '10.6.100.63');</v>
      </c>
      <c r="AG168" s="12" t="str">
        <f t="shared" si="62"/>
        <v>INSERT INTO sy_perm_list (USER_CD, OPT_CD, ACCESS_TYPE, BRANCH_CODE, CLASS_CODE, ENT_BY, ENT_DATE, ENT_BY_IP)</v>
      </c>
      <c r="AH168" s="12" t="str">
        <f t="shared" si="63"/>
        <v>VALUES('08801309','HealthLife.aspx', 'USER', '01', '08', 'ABDUL', SYSDATE, '10.6.100.63');</v>
      </c>
      <c r="AI168" s="12" t="str">
        <f t="shared" si="64"/>
        <v>INSERT INTO sy_perm_list (USER_CD, OPT_CD, ACCESS_TYPE, BRANCH_CODE, CLASS_CODE, ENT_BY, ENT_DATE, ENT_BY_IP)</v>
      </c>
      <c r="AJ168" s="12" t="str">
        <f t="shared" si="65"/>
        <v>VALUES('08801309','IpdClaim.aspx', 'USER', '01', '08', 'ABDUL', SYSDATE, '10.6.100.63');</v>
      </c>
      <c r="AK168" s="12" t="str">
        <f t="shared" si="66"/>
        <v>INSERT INTO sy_perm_list (USER_CD, OPT_CD, ACCESS_TYPE, BRANCH_CODE, CLASS_CODE, ENT_BY, ENT_DATE, ENT_BY_IP)</v>
      </c>
      <c r="AL168" s="12" t="str">
        <f t="shared" si="67"/>
        <v>VALUES('08801309','OpdClaim.aspx', 'USER', '01', '08', 'ABDUL', SYSDATE, '10.6.100.63');</v>
      </c>
      <c r="AM168" s="12" t="str">
        <f t="shared" si="68"/>
        <v>INSERT INTO sy_perm_list (USER_CD, OPT_CD, ACCESS_TYPE, BRANCH_CODE, CLASS_CODE, ENT_BY, ENT_DATE, ENT_BY_IP)</v>
      </c>
      <c r="AN168" s="12" t="str">
        <f t="shared" si="69"/>
        <v>VALUES('08801309','RequestDetails.aspx', 'USER', '01', '08', 'ABDUL', SYSDATE, '10.6.100.63');</v>
      </c>
      <c r="AO168" s="12" t="str">
        <f t="shared" si="70"/>
        <v>INSERT INTO sy_perm_list (USER_CD, OPT_CD, ACCESS_TYPE, BRANCH_CODE, CLASS_CODE, ENT_BY, ENT_DATE, ENT_BY_IP)</v>
      </c>
      <c r="AP168" s="12" t="str">
        <f t="shared" si="71"/>
        <v>VALUES('08801309','TodaysRequest.aspx', 'USER', '01', '08', 'ABDUL', SYSDATE, '10.6.100.63');</v>
      </c>
    </row>
    <row r="169" spans="1:42" s="6" customFormat="1" ht="76.5" x14ac:dyDescent="0.2">
      <c r="A169" s="4">
        <v>151</v>
      </c>
      <c r="B169" s="5" t="s">
        <v>801</v>
      </c>
      <c r="C169" s="5">
        <v>9000250</v>
      </c>
      <c r="D169" s="6" t="s">
        <v>333</v>
      </c>
      <c r="E169" s="6" t="s">
        <v>290</v>
      </c>
      <c r="F169" s="5" t="s">
        <v>287</v>
      </c>
      <c r="G169" s="6" t="s">
        <v>288</v>
      </c>
      <c r="H169" s="5" t="s">
        <v>652</v>
      </c>
      <c r="I169" s="5">
        <v>590</v>
      </c>
      <c r="J169" s="5" t="s">
        <v>334</v>
      </c>
      <c r="K169" s="6" t="s">
        <v>335</v>
      </c>
      <c r="L169" s="6" t="s">
        <v>641</v>
      </c>
      <c r="M169" s="6" t="s">
        <v>642</v>
      </c>
      <c r="N169" s="7">
        <v>44054</v>
      </c>
      <c r="O169" s="7">
        <v>44044</v>
      </c>
      <c r="P169" s="7">
        <v>44408</v>
      </c>
      <c r="Q169" s="8">
        <v>371</v>
      </c>
      <c r="R169" s="8">
        <v>1193</v>
      </c>
      <c r="S169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69" s="12" t="str">
        <f t="shared" si="49"/>
        <v>VALUES('08801454','TURKEY MAARIF FOUNDATION','Salaam@123','Y','N',sysdate,'016', 'C', 'Client', 'amkhan@pakturkmaarif.edu.pk','01','B', '08', 'ABDUL', sysdate, '10.6.100.63', '08801454');</v>
      </c>
      <c r="U169" s="12" t="str">
        <f t="shared" si="50"/>
        <v>INSERT INTO sy_user_branches (USER_CD, BRANCH_CODE, CLASS_CODE, ENT_BY, ENT_DATE, ENT_BY_IP)</v>
      </c>
      <c r="V169" s="12" t="str">
        <f t="shared" si="51"/>
        <v>values('08801454','01', '08', 'ABDUL', sysdate, '10.6.100.63');</v>
      </c>
      <c r="W169" s="12" t="str">
        <f t="shared" si="52"/>
        <v>INSERT INTO sy_perm_list (USER_CD, OPT_CD, ACCESS_TYPE, BRANCH_CODE, CLASS_CODE, ENT_BY, ENT_DATE, ENT_BY_IP)</v>
      </c>
      <c r="X169" s="12" t="str">
        <f t="shared" si="53"/>
        <v>VALUES('08801454','ClaimComments.aspx', 'USER', '01', '08', 'ABDUL', SYSDATE, '10.6.100.63');</v>
      </c>
      <c r="Y169" s="12" t="str">
        <f t="shared" si="54"/>
        <v>INSERT INTO sy_perm_list (USER_CD, OPT_CD, ACCESS_TYPE, BRANCH_CODE, CLASS_CODE, ENT_BY, ENT_DATE, ENT_BY_IP)</v>
      </c>
      <c r="Z169" s="12" t="str">
        <f t="shared" si="55"/>
        <v>VALUES('08801454','ClaimDocs.aspx', 'USER', '01', '08', 'ABDUL', SYSDATE, '10.6.100.63');</v>
      </c>
      <c r="AA169" s="12" t="str">
        <f t="shared" si="56"/>
        <v>INSERT INTO sy_perm_list (USER_CD, OPT_CD, ACCESS_TYPE, BRANCH_CODE, CLASS_CODE, ENT_BY, ENT_DATE, ENT_BY_IP)</v>
      </c>
      <c r="AB169" s="12" t="str">
        <f t="shared" si="57"/>
        <v>VALUES('08801454','Client.aspx', 'USER', '01', '08', 'ABDUL', SYSDATE, '10.6.100.63');</v>
      </c>
      <c r="AC169" s="12" t="str">
        <f t="shared" si="58"/>
        <v>INSERT INTO sy_perm_list (USER_CD, OPT_CD, ACCESS_TYPE, BRANCH_CODE, CLASS_CODE, ENT_BY, ENT_DATE, ENT_BY_IP)</v>
      </c>
      <c r="AD169" s="12" t="str">
        <f t="shared" si="59"/>
        <v>VALUES('08801454','ClientReports.aspx', 'USER', '01', '08', 'ABDUL', SYSDATE, '10.6.100.63');</v>
      </c>
      <c r="AE169" s="12" t="str">
        <f t="shared" si="60"/>
        <v>INSERT INTO sy_perm_list (USER_CD, OPT_CD, ACCESS_TYPE, BRANCH_CODE, CLASS_CODE, ENT_BY, ENT_DATE, ENT_BY_IP)</v>
      </c>
      <c r="AF169" s="12" t="str">
        <f t="shared" si="61"/>
        <v>VALUES('08801454','ClientRequests.aspx', 'USER', '01', '08', 'ABDUL', SYSDATE, '10.6.100.63');</v>
      </c>
      <c r="AG169" s="12" t="str">
        <f t="shared" si="62"/>
        <v>INSERT INTO sy_perm_list (USER_CD, OPT_CD, ACCESS_TYPE, BRANCH_CODE, CLASS_CODE, ENT_BY, ENT_DATE, ENT_BY_IP)</v>
      </c>
      <c r="AH169" s="12" t="str">
        <f t="shared" si="63"/>
        <v>VALUES('08801454','HealthLife.aspx', 'USER', '01', '08', 'ABDUL', SYSDATE, '10.6.100.63');</v>
      </c>
      <c r="AI169" s="12" t="str">
        <f t="shared" si="64"/>
        <v>INSERT INTO sy_perm_list (USER_CD, OPT_CD, ACCESS_TYPE, BRANCH_CODE, CLASS_CODE, ENT_BY, ENT_DATE, ENT_BY_IP)</v>
      </c>
      <c r="AJ169" s="12" t="str">
        <f t="shared" si="65"/>
        <v>VALUES('08801454','IpdClaim.aspx', 'USER', '01', '08', 'ABDUL', SYSDATE, '10.6.100.63');</v>
      </c>
      <c r="AK169" s="12" t="str">
        <f t="shared" si="66"/>
        <v>INSERT INTO sy_perm_list (USER_CD, OPT_CD, ACCESS_TYPE, BRANCH_CODE, CLASS_CODE, ENT_BY, ENT_DATE, ENT_BY_IP)</v>
      </c>
      <c r="AL169" s="12" t="str">
        <f t="shared" si="67"/>
        <v>VALUES('08801454','OpdClaim.aspx', 'USER', '01', '08', 'ABDUL', SYSDATE, '10.6.100.63');</v>
      </c>
      <c r="AM169" s="12" t="str">
        <f t="shared" si="68"/>
        <v>INSERT INTO sy_perm_list (USER_CD, OPT_CD, ACCESS_TYPE, BRANCH_CODE, CLASS_CODE, ENT_BY, ENT_DATE, ENT_BY_IP)</v>
      </c>
      <c r="AN169" s="12" t="str">
        <f t="shared" si="69"/>
        <v>VALUES('08801454','RequestDetails.aspx', 'USER', '01', '08', 'ABDUL', SYSDATE, '10.6.100.63');</v>
      </c>
      <c r="AO169" s="12" t="str">
        <f t="shared" si="70"/>
        <v>INSERT INTO sy_perm_list (USER_CD, OPT_CD, ACCESS_TYPE, BRANCH_CODE, CLASS_CODE, ENT_BY, ENT_DATE, ENT_BY_IP)</v>
      </c>
      <c r="AP169" s="12" t="str">
        <f t="shared" si="71"/>
        <v>VALUES('08801454','TodaysRequest.aspx', 'USER', '01', '08', 'ABDUL', SYSDATE, '10.6.100.63');</v>
      </c>
    </row>
    <row r="170" spans="1:42" s="6" customFormat="1" ht="89.25" x14ac:dyDescent="0.2">
      <c r="A170" s="4">
        <v>152</v>
      </c>
      <c r="B170" s="5" t="s">
        <v>802</v>
      </c>
      <c r="C170" s="5">
        <v>9000266</v>
      </c>
      <c r="D170" s="6" t="s">
        <v>340</v>
      </c>
      <c r="E170" s="6" t="s">
        <v>314</v>
      </c>
      <c r="F170" s="5" t="s">
        <v>287</v>
      </c>
      <c r="G170" s="6" t="s">
        <v>288</v>
      </c>
      <c r="H170" s="5" t="s">
        <v>652</v>
      </c>
      <c r="I170" s="5">
        <v>680</v>
      </c>
      <c r="J170" s="5" t="s">
        <v>402</v>
      </c>
      <c r="K170" s="6" t="s">
        <v>403</v>
      </c>
      <c r="L170" s="6" t="s">
        <v>643</v>
      </c>
      <c r="M170" s="6" t="s">
        <v>644</v>
      </c>
      <c r="N170" s="7">
        <v>44172</v>
      </c>
      <c r="O170" s="7">
        <v>44142</v>
      </c>
      <c r="P170" s="7">
        <v>44506</v>
      </c>
      <c r="Q170" s="8">
        <v>15</v>
      </c>
      <c r="R170" s="8">
        <v>15</v>
      </c>
      <c r="S170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0" s="12" t="str">
        <f t="shared" si="49"/>
        <v>VALUES('08801621','UNICORN BLACK (PRIVATE) LIMITED','Salaam@123','Y','N',sysdate,'016', 'C', 'Client', 'khalid.jumani@uniqueinsurancebrokers.com','01','B', '08', 'ABDUL', sysdate, '10.6.100.63', '08801621');</v>
      </c>
      <c r="U170" s="12" t="str">
        <f t="shared" si="50"/>
        <v>INSERT INTO sy_user_branches (USER_CD, BRANCH_CODE, CLASS_CODE, ENT_BY, ENT_DATE, ENT_BY_IP)</v>
      </c>
      <c r="V170" s="12" t="str">
        <f t="shared" si="51"/>
        <v>values('08801621','01', '08', 'ABDUL', sysdate, '10.6.100.63');</v>
      </c>
      <c r="W170" s="12" t="str">
        <f t="shared" si="52"/>
        <v>INSERT INTO sy_perm_list (USER_CD, OPT_CD, ACCESS_TYPE, BRANCH_CODE, CLASS_CODE, ENT_BY, ENT_DATE, ENT_BY_IP)</v>
      </c>
      <c r="X170" s="12" t="str">
        <f t="shared" si="53"/>
        <v>VALUES('08801621','ClaimComments.aspx', 'USER', '01', '08', 'ABDUL', SYSDATE, '10.6.100.63');</v>
      </c>
      <c r="Y170" s="12" t="str">
        <f t="shared" si="54"/>
        <v>INSERT INTO sy_perm_list (USER_CD, OPT_CD, ACCESS_TYPE, BRANCH_CODE, CLASS_CODE, ENT_BY, ENT_DATE, ENT_BY_IP)</v>
      </c>
      <c r="Z170" s="12" t="str">
        <f t="shared" si="55"/>
        <v>VALUES('08801621','ClaimDocs.aspx', 'USER', '01', '08', 'ABDUL', SYSDATE, '10.6.100.63');</v>
      </c>
      <c r="AA170" s="12" t="str">
        <f t="shared" si="56"/>
        <v>INSERT INTO sy_perm_list (USER_CD, OPT_CD, ACCESS_TYPE, BRANCH_CODE, CLASS_CODE, ENT_BY, ENT_DATE, ENT_BY_IP)</v>
      </c>
      <c r="AB170" s="12" t="str">
        <f t="shared" si="57"/>
        <v>VALUES('08801621','Client.aspx', 'USER', '01', '08', 'ABDUL', SYSDATE, '10.6.100.63');</v>
      </c>
      <c r="AC170" s="12" t="str">
        <f t="shared" si="58"/>
        <v>INSERT INTO sy_perm_list (USER_CD, OPT_CD, ACCESS_TYPE, BRANCH_CODE, CLASS_CODE, ENT_BY, ENT_DATE, ENT_BY_IP)</v>
      </c>
      <c r="AD170" s="12" t="str">
        <f t="shared" si="59"/>
        <v>VALUES('08801621','ClientReports.aspx', 'USER', '01', '08', 'ABDUL', SYSDATE, '10.6.100.63');</v>
      </c>
      <c r="AE170" s="12" t="str">
        <f t="shared" si="60"/>
        <v>INSERT INTO sy_perm_list (USER_CD, OPT_CD, ACCESS_TYPE, BRANCH_CODE, CLASS_CODE, ENT_BY, ENT_DATE, ENT_BY_IP)</v>
      </c>
      <c r="AF170" s="12" t="str">
        <f t="shared" si="61"/>
        <v>VALUES('08801621','ClientRequests.aspx', 'USER', '01', '08', 'ABDUL', SYSDATE, '10.6.100.63');</v>
      </c>
      <c r="AG170" s="12" t="str">
        <f t="shared" si="62"/>
        <v>INSERT INTO sy_perm_list (USER_CD, OPT_CD, ACCESS_TYPE, BRANCH_CODE, CLASS_CODE, ENT_BY, ENT_DATE, ENT_BY_IP)</v>
      </c>
      <c r="AH170" s="12" t="str">
        <f t="shared" si="63"/>
        <v>VALUES('08801621','HealthLife.aspx', 'USER', '01', '08', 'ABDUL', SYSDATE, '10.6.100.63');</v>
      </c>
      <c r="AI170" s="12" t="str">
        <f t="shared" si="64"/>
        <v>INSERT INTO sy_perm_list (USER_CD, OPT_CD, ACCESS_TYPE, BRANCH_CODE, CLASS_CODE, ENT_BY, ENT_DATE, ENT_BY_IP)</v>
      </c>
      <c r="AJ170" s="12" t="str">
        <f t="shared" si="65"/>
        <v>VALUES('08801621','IpdClaim.aspx', 'USER', '01', '08', 'ABDUL', SYSDATE, '10.6.100.63');</v>
      </c>
      <c r="AK170" s="12" t="str">
        <f t="shared" si="66"/>
        <v>INSERT INTO sy_perm_list (USER_CD, OPT_CD, ACCESS_TYPE, BRANCH_CODE, CLASS_CODE, ENT_BY, ENT_DATE, ENT_BY_IP)</v>
      </c>
      <c r="AL170" s="12" t="str">
        <f t="shared" si="67"/>
        <v>VALUES('08801621','OpdClaim.aspx', 'USER', '01', '08', 'ABDUL', SYSDATE, '10.6.100.63');</v>
      </c>
      <c r="AM170" s="12" t="str">
        <f t="shared" si="68"/>
        <v>INSERT INTO sy_perm_list (USER_CD, OPT_CD, ACCESS_TYPE, BRANCH_CODE, CLASS_CODE, ENT_BY, ENT_DATE, ENT_BY_IP)</v>
      </c>
      <c r="AN170" s="12" t="str">
        <f t="shared" si="69"/>
        <v>VALUES('08801621','RequestDetails.aspx', 'USER', '01', '08', 'ABDUL', SYSDATE, '10.6.100.63');</v>
      </c>
      <c r="AO170" s="12" t="str">
        <f t="shared" si="70"/>
        <v>INSERT INTO sy_perm_list (USER_CD, OPT_CD, ACCESS_TYPE, BRANCH_CODE, CLASS_CODE, ENT_BY, ENT_DATE, ENT_BY_IP)</v>
      </c>
      <c r="AP170" s="12" t="str">
        <f t="shared" si="71"/>
        <v>VALUES('08801621','TodaysRequest.aspx', 'USER', '01', '08', 'ABDUL', SYSDATE, '10.6.100.63');</v>
      </c>
    </row>
    <row r="171" spans="1:42" s="6" customFormat="1" ht="76.5" x14ac:dyDescent="0.2">
      <c r="A171" s="4">
        <v>153</v>
      </c>
      <c r="B171" s="5" t="s">
        <v>803</v>
      </c>
      <c r="C171" s="5">
        <v>9000244</v>
      </c>
      <c r="D171" s="6" t="s">
        <v>337</v>
      </c>
      <c r="E171" s="6" t="s">
        <v>290</v>
      </c>
      <c r="F171" s="5" t="s">
        <v>287</v>
      </c>
      <c r="G171" s="6" t="s">
        <v>288</v>
      </c>
      <c r="H171" s="5" t="s">
        <v>649</v>
      </c>
      <c r="I171" s="5">
        <v>803</v>
      </c>
      <c r="J171" s="5" t="s">
        <v>531</v>
      </c>
      <c r="K171" s="6" t="s">
        <v>197</v>
      </c>
      <c r="L171" s="6" t="s">
        <v>198</v>
      </c>
      <c r="M171" s="9" t="s">
        <v>819</v>
      </c>
      <c r="N171" s="7">
        <v>44259</v>
      </c>
      <c r="O171" s="7">
        <v>44247</v>
      </c>
      <c r="P171" s="7">
        <v>44611</v>
      </c>
      <c r="Q171" s="8">
        <v>41</v>
      </c>
      <c r="R171" s="8">
        <v>136</v>
      </c>
      <c r="S171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1" s="12" t="str">
        <f t="shared" si="49"/>
        <v>VALUES('08801272','UNIVERSAL BRUSHWARES (PRIVATE) LIMITED','Salaam@123','Y','N',sysdate,'016', 'C', 'Client', 'farhankhan@unibrush.com','01','B', '08', 'ABDUL', sysdate, '10.6.100.63', '08801272');</v>
      </c>
      <c r="U171" s="12" t="str">
        <f t="shared" si="50"/>
        <v>INSERT INTO sy_user_branches (USER_CD, BRANCH_CODE, CLASS_CODE, ENT_BY, ENT_DATE, ENT_BY_IP)</v>
      </c>
      <c r="V171" s="12" t="str">
        <f t="shared" si="51"/>
        <v>values('08801272','01', '08', 'ABDUL', sysdate, '10.6.100.63');</v>
      </c>
      <c r="W171" s="12" t="str">
        <f t="shared" si="52"/>
        <v>INSERT INTO sy_perm_list (USER_CD, OPT_CD, ACCESS_TYPE, BRANCH_CODE, CLASS_CODE, ENT_BY, ENT_DATE, ENT_BY_IP)</v>
      </c>
      <c r="X171" s="12" t="str">
        <f t="shared" si="53"/>
        <v>VALUES('08801272','ClaimComments.aspx', 'USER', '01', '08', 'ABDUL', SYSDATE, '10.6.100.63');</v>
      </c>
      <c r="Y171" s="12" t="str">
        <f t="shared" si="54"/>
        <v>INSERT INTO sy_perm_list (USER_CD, OPT_CD, ACCESS_TYPE, BRANCH_CODE, CLASS_CODE, ENT_BY, ENT_DATE, ENT_BY_IP)</v>
      </c>
      <c r="Z171" s="12" t="str">
        <f t="shared" si="55"/>
        <v>VALUES('08801272','ClaimDocs.aspx', 'USER', '01', '08', 'ABDUL', SYSDATE, '10.6.100.63');</v>
      </c>
      <c r="AA171" s="12" t="str">
        <f t="shared" si="56"/>
        <v>INSERT INTO sy_perm_list (USER_CD, OPT_CD, ACCESS_TYPE, BRANCH_CODE, CLASS_CODE, ENT_BY, ENT_DATE, ENT_BY_IP)</v>
      </c>
      <c r="AB171" s="12" t="str">
        <f t="shared" si="57"/>
        <v>VALUES('08801272','Client.aspx', 'USER', '01', '08', 'ABDUL', SYSDATE, '10.6.100.63');</v>
      </c>
      <c r="AC171" s="12" t="str">
        <f t="shared" si="58"/>
        <v>INSERT INTO sy_perm_list (USER_CD, OPT_CD, ACCESS_TYPE, BRANCH_CODE, CLASS_CODE, ENT_BY, ENT_DATE, ENT_BY_IP)</v>
      </c>
      <c r="AD171" s="12" t="str">
        <f t="shared" si="59"/>
        <v>VALUES('08801272','ClientReports.aspx', 'USER', '01', '08', 'ABDUL', SYSDATE, '10.6.100.63');</v>
      </c>
      <c r="AE171" s="12" t="str">
        <f t="shared" si="60"/>
        <v>INSERT INTO sy_perm_list (USER_CD, OPT_CD, ACCESS_TYPE, BRANCH_CODE, CLASS_CODE, ENT_BY, ENT_DATE, ENT_BY_IP)</v>
      </c>
      <c r="AF171" s="12" t="str">
        <f t="shared" si="61"/>
        <v>VALUES('08801272','ClientRequests.aspx', 'USER', '01', '08', 'ABDUL', SYSDATE, '10.6.100.63');</v>
      </c>
      <c r="AG171" s="12" t="str">
        <f t="shared" si="62"/>
        <v>INSERT INTO sy_perm_list (USER_CD, OPT_CD, ACCESS_TYPE, BRANCH_CODE, CLASS_CODE, ENT_BY, ENT_DATE, ENT_BY_IP)</v>
      </c>
      <c r="AH171" s="12" t="str">
        <f t="shared" si="63"/>
        <v>VALUES('08801272','HealthLife.aspx', 'USER', '01', '08', 'ABDUL', SYSDATE, '10.6.100.63');</v>
      </c>
      <c r="AI171" s="12" t="str">
        <f t="shared" si="64"/>
        <v>INSERT INTO sy_perm_list (USER_CD, OPT_CD, ACCESS_TYPE, BRANCH_CODE, CLASS_CODE, ENT_BY, ENT_DATE, ENT_BY_IP)</v>
      </c>
      <c r="AJ171" s="12" t="str">
        <f t="shared" si="65"/>
        <v>VALUES('08801272','IpdClaim.aspx', 'USER', '01', '08', 'ABDUL', SYSDATE, '10.6.100.63');</v>
      </c>
      <c r="AK171" s="12" t="str">
        <f t="shared" si="66"/>
        <v>INSERT INTO sy_perm_list (USER_CD, OPT_CD, ACCESS_TYPE, BRANCH_CODE, CLASS_CODE, ENT_BY, ENT_DATE, ENT_BY_IP)</v>
      </c>
      <c r="AL171" s="12" t="str">
        <f t="shared" si="67"/>
        <v>VALUES('08801272','OpdClaim.aspx', 'USER', '01', '08', 'ABDUL', SYSDATE, '10.6.100.63');</v>
      </c>
      <c r="AM171" s="12" t="str">
        <f t="shared" si="68"/>
        <v>INSERT INTO sy_perm_list (USER_CD, OPT_CD, ACCESS_TYPE, BRANCH_CODE, CLASS_CODE, ENT_BY, ENT_DATE, ENT_BY_IP)</v>
      </c>
      <c r="AN171" s="12" t="str">
        <f t="shared" si="69"/>
        <v>VALUES('08801272','RequestDetails.aspx', 'USER', '01', '08', 'ABDUL', SYSDATE, '10.6.100.63');</v>
      </c>
      <c r="AO171" s="12" t="str">
        <f t="shared" si="70"/>
        <v>INSERT INTO sy_perm_list (USER_CD, OPT_CD, ACCESS_TYPE, BRANCH_CODE, CLASS_CODE, ENT_BY, ENT_DATE, ENT_BY_IP)</v>
      </c>
      <c r="AP171" s="12" t="str">
        <f t="shared" si="71"/>
        <v>VALUES('08801272','TodaysRequest.aspx', 'USER', '01', '08', 'ABDUL', SYSDATE, '10.6.100.63');</v>
      </c>
    </row>
    <row r="172" spans="1:42" s="6" customFormat="1" ht="89.25" x14ac:dyDescent="0.2">
      <c r="A172" s="4">
        <v>154</v>
      </c>
      <c r="B172" s="5" t="s">
        <v>804</v>
      </c>
      <c r="C172" s="5">
        <v>9000289</v>
      </c>
      <c r="D172" s="6" t="s">
        <v>387</v>
      </c>
      <c r="E172" s="6" t="s">
        <v>290</v>
      </c>
      <c r="F172" s="5" t="s">
        <v>287</v>
      </c>
      <c r="G172" s="6" t="s">
        <v>288</v>
      </c>
      <c r="H172" s="5" t="s">
        <v>649</v>
      </c>
      <c r="I172" s="5">
        <v>662</v>
      </c>
      <c r="J172" s="5" t="s">
        <v>388</v>
      </c>
      <c r="K172" s="6" t="s">
        <v>389</v>
      </c>
      <c r="L172" s="6" t="s">
        <v>236</v>
      </c>
      <c r="M172" s="6" t="s">
        <v>237</v>
      </c>
      <c r="N172" s="7">
        <v>44132</v>
      </c>
      <c r="O172" s="7">
        <v>44129</v>
      </c>
      <c r="P172" s="7">
        <v>44493</v>
      </c>
      <c r="Q172" s="8">
        <v>47</v>
      </c>
      <c r="R172" s="8">
        <v>150</v>
      </c>
      <c r="S172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2" s="12" t="str">
        <f t="shared" si="49"/>
        <v>VALUES('08801603','VISION AIR INTERNATIONAL (PVT) LTD','Salaam@123','Y','N',sysdate,'016', 'C', 'Client', 'muhammad.sohail@visionairintl.com','01','B', '08', 'ABDUL', sysdate, '10.6.100.63', '08801603');</v>
      </c>
      <c r="U172" s="12" t="str">
        <f t="shared" si="50"/>
        <v>INSERT INTO sy_user_branches (USER_CD, BRANCH_CODE, CLASS_CODE, ENT_BY, ENT_DATE, ENT_BY_IP)</v>
      </c>
      <c r="V172" s="12" t="str">
        <f t="shared" si="51"/>
        <v>values('08801603','01', '08', 'ABDUL', sysdate, '10.6.100.63');</v>
      </c>
      <c r="W172" s="12" t="str">
        <f t="shared" si="52"/>
        <v>INSERT INTO sy_perm_list (USER_CD, OPT_CD, ACCESS_TYPE, BRANCH_CODE, CLASS_CODE, ENT_BY, ENT_DATE, ENT_BY_IP)</v>
      </c>
      <c r="X172" s="12" t="str">
        <f t="shared" si="53"/>
        <v>VALUES('08801603','ClaimComments.aspx', 'USER', '01', '08', 'ABDUL', SYSDATE, '10.6.100.63');</v>
      </c>
      <c r="Y172" s="12" t="str">
        <f t="shared" si="54"/>
        <v>INSERT INTO sy_perm_list (USER_CD, OPT_CD, ACCESS_TYPE, BRANCH_CODE, CLASS_CODE, ENT_BY, ENT_DATE, ENT_BY_IP)</v>
      </c>
      <c r="Z172" s="12" t="str">
        <f t="shared" si="55"/>
        <v>VALUES('08801603','ClaimDocs.aspx', 'USER', '01', '08', 'ABDUL', SYSDATE, '10.6.100.63');</v>
      </c>
      <c r="AA172" s="12" t="str">
        <f t="shared" si="56"/>
        <v>INSERT INTO sy_perm_list (USER_CD, OPT_CD, ACCESS_TYPE, BRANCH_CODE, CLASS_CODE, ENT_BY, ENT_DATE, ENT_BY_IP)</v>
      </c>
      <c r="AB172" s="12" t="str">
        <f t="shared" si="57"/>
        <v>VALUES('08801603','Client.aspx', 'USER', '01', '08', 'ABDUL', SYSDATE, '10.6.100.63');</v>
      </c>
      <c r="AC172" s="12" t="str">
        <f t="shared" si="58"/>
        <v>INSERT INTO sy_perm_list (USER_CD, OPT_CD, ACCESS_TYPE, BRANCH_CODE, CLASS_CODE, ENT_BY, ENT_DATE, ENT_BY_IP)</v>
      </c>
      <c r="AD172" s="12" t="str">
        <f t="shared" si="59"/>
        <v>VALUES('08801603','ClientReports.aspx', 'USER', '01', '08', 'ABDUL', SYSDATE, '10.6.100.63');</v>
      </c>
      <c r="AE172" s="12" t="str">
        <f t="shared" si="60"/>
        <v>INSERT INTO sy_perm_list (USER_CD, OPT_CD, ACCESS_TYPE, BRANCH_CODE, CLASS_CODE, ENT_BY, ENT_DATE, ENT_BY_IP)</v>
      </c>
      <c r="AF172" s="12" t="str">
        <f t="shared" si="61"/>
        <v>VALUES('08801603','ClientRequests.aspx', 'USER', '01', '08', 'ABDUL', SYSDATE, '10.6.100.63');</v>
      </c>
      <c r="AG172" s="12" t="str">
        <f t="shared" si="62"/>
        <v>INSERT INTO sy_perm_list (USER_CD, OPT_CD, ACCESS_TYPE, BRANCH_CODE, CLASS_CODE, ENT_BY, ENT_DATE, ENT_BY_IP)</v>
      </c>
      <c r="AH172" s="12" t="str">
        <f t="shared" si="63"/>
        <v>VALUES('08801603','HealthLife.aspx', 'USER', '01', '08', 'ABDUL', SYSDATE, '10.6.100.63');</v>
      </c>
      <c r="AI172" s="12" t="str">
        <f t="shared" si="64"/>
        <v>INSERT INTO sy_perm_list (USER_CD, OPT_CD, ACCESS_TYPE, BRANCH_CODE, CLASS_CODE, ENT_BY, ENT_DATE, ENT_BY_IP)</v>
      </c>
      <c r="AJ172" s="12" t="str">
        <f t="shared" si="65"/>
        <v>VALUES('08801603','IpdClaim.aspx', 'USER', '01', '08', 'ABDUL', SYSDATE, '10.6.100.63');</v>
      </c>
      <c r="AK172" s="12" t="str">
        <f t="shared" si="66"/>
        <v>INSERT INTO sy_perm_list (USER_CD, OPT_CD, ACCESS_TYPE, BRANCH_CODE, CLASS_CODE, ENT_BY, ENT_DATE, ENT_BY_IP)</v>
      </c>
      <c r="AL172" s="12" t="str">
        <f t="shared" si="67"/>
        <v>VALUES('08801603','OpdClaim.aspx', 'USER', '01', '08', 'ABDUL', SYSDATE, '10.6.100.63');</v>
      </c>
      <c r="AM172" s="12" t="str">
        <f t="shared" si="68"/>
        <v>INSERT INTO sy_perm_list (USER_CD, OPT_CD, ACCESS_TYPE, BRANCH_CODE, CLASS_CODE, ENT_BY, ENT_DATE, ENT_BY_IP)</v>
      </c>
      <c r="AN172" s="12" t="str">
        <f t="shared" si="69"/>
        <v>VALUES('08801603','RequestDetails.aspx', 'USER', '01', '08', 'ABDUL', SYSDATE, '10.6.100.63');</v>
      </c>
      <c r="AO172" s="12" t="str">
        <f t="shared" si="70"/>
        <v>INSERT INTO sy_perm_list (USER_CD, OPT_CD, ACCESS_TYPE, BRANCH_CODE, CLASS_CODE, ENT_BY, ENT_DATE, ENT_BY_IP)</v>
      </c>
      <c r="AP172" s="12" t="str">
        <f t="shared" si="71"/>
        <v>VALUES('08801603','TodaysRequest.aspx', 'USER', '01', '08', 'ABDUL', SYSDATE, '10.6.100.63');</v>
      </c>
    </row>
    <row r="173" spans="1:42" s="6" customFormat="1" ht="13.5" thickBot="1" x14ac:dyDescent="0.25">
      <c r="A173" s="4"/>
      <c r="B173" s="5" t="s">
        <v>804</v>
      </c>
      <c r="C173" s="5">
        <v>9000289</v>
      </c>
      <c r="D173" s="6" t="s">
        <v>387</v>
      </c>
      <c r="E173" s="6" t="s">
        <v>290</v>
      </c>
      <c r="F173" s="5" t="s">
        <v>287</v>
      </c>
      <c r="G173" s="6" t="s">
        <v>288</v>
      </c>
      <c r="H173" s="5" t="s">
        <v>649</v>
      </c>
      <c r="I173" s="39">
        <v>1228</v>
      </c>
      <c r="J173" s="40" t="s">
        <v>1249</v>
      </c>
      <c r="K173" s="6" t="s">
        <v>389</v>
      </c>
      <c r="L173" s="6" t="s">
        <v>236</v>
      </c>
      <c r="M173" s="6" t="s">
        <v>237</v>
      </c>
      <c r="N173" s="7"/>
      <c r="O173" s="7"/>
      <c r="P173" s="7"/>
      <c r="Q173" s="8"/>
      <c r="R173" s="8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</row>
    <row r="174" spans="1:42" s="6" customFormat="1" ht="76.5" x14ac:dyDescent="0.2">
      <c r="A174" s="4">
        <v>155</v>
      </c>
      <c r="B174" s="5" t="s">
        <v>805</v>
      </c>
      <c r="C174" s="5">
        <v>9000221</v>
      </c>
      <c r="D174" s="6" t="s">
        <v>285</v>
      </c>
      <c r="E174" s="6" t="s">
        <v>286</v>
      </c>
      <c r="F174" s="5" t="s">
        <v>287</v>
      </c>
      <c r="G174" s="6" t="s">
        <v>288</v>
      </c>
      <c r="H174" s="5" t="s">
        <v>649</v>
      </c>
      <c r="I174" s="5">
        <v>767</v>
      </c>
      <c r="J174" s="5" t="s">
        <v>484</v>
      </c>
      <c r="K174" s="6" t="s">
        <v>485</v>
      </c>
      <c r="L174" s="6" t="s">
        <v>238</v>
      </c>
      <c r="M174" s="6" t="s">
        <v>239</v>
      </c>
      <c r="N174" s="7">
        <v>44243</v>
      </c>
      <c r="O174" s="7">
        <v>44180</v>
      </c>
      <c r="P174" s="7">
        <v>44544</v>
      </c>
      <c r="Q174" s="8">
        <v>12</v>
      </c>
      <c r="R174" s="8">
        <v>28</v>
      </c>
      <c r="S174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4" s="12" t="str">
        <f t="shared" si="49"/>
        <v>VALUES('08801769','WEBOTICKS (PRIVATE) LIMITED','Salaam@123','Y','N',sysdate,'016', 'C', 'Client', 'ejaz@xtrategize.com.pk','01','B', '08', 'ABDUL', sysdate, '10.6.100.63', '08801769');</v>
      </c>
      <c r="U174" s="12" t="str">
        <f t="shared" si="50"/>
        <v>INSERT INTO sy_user_branches (USER_CD, BRANCH_CODE, CLASS_CODE, ENT_BY, ENT_DATE, ENT_BY_IP)</v>
      </c>
      <c r="V174" s="12" t="str">
        <f t="shared" si="51"/>
        <v>values('08801769','01', '08', 'ABDUL', sysdate, '10.6.100.63');</v>
      </c>
      <c r="W174" s="12" t="str">
        <f t="shared" si="52"/>
        <v>INSERT INTO sy_perm_list (USER_CD, OPT_CD, ACCESS_TYPE, BRANCH_CODE, CLASS_CODE, ENT_BY, ENT_DATE, ENT_BY_IP)</v>
      </c>
      <c r="X174" s="12" t="str">
        <f t="shared" si="53"/>
        <v>VALUES('08801769','ClaimComments.aspx', 'USER', '01', '08', 'ABDUL', SYSDATE, '10.6.100.63');</v>
      </c>
      <c r="Y174" s="12" t="str">
        <f t="shared" si="54"/>
        <v>INSERT INTO sy_perm_list (USER_CD, OPT_CD, ACCESS_TYPE, BRANCH_CODE, CLASS_CODE, ENT_BY, ENT_DATE, ENT_BY_IP)</v>
      </c>
      <c r="Z174" s="12" t="str">
        <f t="shared" si="55"/>
        <v>VALUES('08801769','ClaimDocs.aspx', 'USER', '01', '08', 'ABDUL', SYSDATE, '10.6.100.63');</v>
      </c>
      <c r="AA174" s="12" t="str">
        <f t="shared" si="56"/>
        <v>INSERT INTO sy_perm_list (USER_CD, OPT_CD, ACCESS_TYPE, BRANCH_CODE, CLASS_CODE, ENT_BY, ENT_DATE, ENT_BY_IP)</v>
      </c>
      <c r="AB174" s="12" t="str">
        <f t="shared" si="57"/>
        <v>VALUES('08801769','Client.aspx', 'USER', '01', '08', 'ABDUL', SYSDATE, '10.6.100.63');</v>
      </c>
      <c r="AC174" s="12" t="str">
        <f t="shared" si="58"/>
        <v>INSERT INTO sy_perm_list (USER_CD, OPT_CD, ACCESS_TYPE, BRANCH_CODE, CLASS_CODE, ENT_BY, ENT_DATE, ENT_BY_IP)</v>
      </c>
      <c r="AD174" s="12" t="str">
        <f t="shared" si="59"/>
        <v>VALUES('08801769','ClientReports.aspx', 'USER', '01', '08', 'ABDUL', SYSDATE, '10.6.100.63');</v>
      </c>
      <c r="AE174" s="12" t="str">
        <f t="shared" si="60"/>
        <v>INSERT INTO sy_perm_list (USER_CD, OPT_CD, ACCESS_TYPE, BRANCH_CODE, CLASS_CODE, ENT_BY, ENT_DATE, ENT_BY_IP)</v>
      </c>
      <c r="AF174" s="12" t="str">
        <f t="shared" si="61"/>
        <v>VALUES('08801769','ClientRequests.aspx', 'USER', '01', '08', 'ABDUL', SYSDATE, '10.6.100.63');</v>
      </c>
      <c r="AG174" s="12" t="str">
        <f t="shared" si="62"/>
        <v>INSERT INTO sy_perm_list (USER_CD, OPT_CD, ACCESS_TYPE, BRANCH_CODE, CLASS_CODE, ENT_BY, ENT_DATE, ENT_BY_IP)</v>
      </c>
      <c r="AH174" s="12" t="str">
        <f t="shared" si="63"/>
        <v>VALUES('08801769','HealthLife.aspx', 'USER', '01', '08', 'ABDUL', SYSDATE, '10.6.100.63');</v>
      </c>
      <c r="AI174" s="12" t="str">
        <f t="shared" si="64"/>
        <v>INSERT INTO sy_perm_list (USER_CD, OPT_CD, ACCESS_TYPE, BRANCH_CODE, CLASS_CODE, ENT_BY, ENT_DATE, ENT_BY_IP)</v>
      </c>
      <c r="AJ174" s="12" t="str">
        <f t="shared" si="65"/>
        <v>VALUES('08801769','IpdClaim.aspx', 'USER', '01', '08', 'ABDUL', SYSDATE, '10.6.100.63');</v>
      </c>
      <c r="AK174" s="12" t="str">
        <f t="shared" si="66"/>
        <v>INSERT INTO sy_perm_list (USER_CD, OPT_CD, ACCESS_TYPE, BRANCH_CODE, CLASS_CODE, ENT_BY, ENT_DATE, ENT_BY_IP)</v>
      </c>
      <c r="AL174" s="12" t="str">
        <f t="shared" si="67"/>
        <v>VALUES('08801769','OpdClaim.aspx', 'USER', '01', '08', 'ABDUL', SYSDATE, '10.6.100.63');</v>
      </c>
      <c r="AM174" s="12" t="str">
        <f t="shared" si="68"/>
        <v>INSERT INTO sy_perm_list (USER_CD, OPT_CD, ACCESS_TYPE, BRANCH_CODE, CLASS_CODE, ENT_BY, ENT_DATE, ENT_BY_IP)</v>
      </c>
      <c r="AN174" s="12" t="str">
        <f t="shared" si="69"/>
        <v>VALUES('08801769','RequestDetails.aspx', 'USER', '01', '08', 'ABDUL', SYSDATE, '10.6.100.63');</v>
      </c>
      <c r="AO174" s="12" t="str">
        <f t="shared" si="70"/>
        <v>INSERT INTO sy_perm_list (USER_CD, OPT_CD, ACCESS_TYPE, BRANCH_CODE, CLASS_CODE, ENT_BY, ENT_DATE, ENT_BY_IP)</v>
      </c>
      <c r="AP174" s="12" t="str">
        <f t="shared" si="71"/>
        <v>VALUES('08801769','TodaysRequest.aspx', 'USER', '01', '08', 'ABDUL', SYSDATE, '10.6.100.63');</v>
      </c>
    </row>
    <row r="175" spans="1:42" s="6" customFormat="1" ht="76.5" x14ac:dyDescent="0.2">
      <c r="A175" s="4">
        <v>156</v>
      </c>
      <c r="B175" s="5" t="s">
        <v>806</v>
      </c>
      <c r="C175" s="5">
        <v>9000250</v>
      </c>
      <c r="D175" s="6" t="s">
        <v>333</v>
      </c>
      <c r="E175" s="6" t="s">
        <v>290</v>
      </c>
      <c r="F175" s="5" t="s">
        <v>287</v>
      </c>
      <c r="G175" s="6" t="s">
        <v>288</v>
      </c>
      <c r="H175" s="5" t="s">
        <v>652</v>
      </c>
      <c r="I175" s="5">
        <v>797</v>
      </c>
      <c r="J175" s="5" t="s">
        <v>514</v>
      </c>
      <c r="K175" s="6" t="s">
        <v>515</v>
      </c>
      <c r="L175" s="6" t="s">
        <v>645</v>
      </c>
      <c r="M175" s="6" t="s">
        <v>646</v>
      </c>
      <c r="N175" s="7">
        <v>44256</v>
      </c>
      <c r="O175" s="7">
        <v>44197</v>
      </c>
      <c r="P175" s="7">
        <v>44561</v>
      </c>
      <c r="Q175" s="8">
        <v>104</v>
      </c>
      <c r="R175" s="8">
        <v>301</v>
      </c>
      <c r="S175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5" s="12" t="str">
        <f t="shared" si="49"/>
        <v>VALUES('08801804','WISEMAN INNOVATIONS (SMC-PRIVATE) LIMITED','Salaam@123','Y','N',sysdate,'016', 'C', 'Client', 'sadia.mumtaz@wiseman.com','01','B', '08', 'ABDUL', sysdate, '10.6.100.63', '08801804');</v>
      </c>
      <c r="U175" s="12" t="str">
        <f t="shared" si="50"/>
        <v>INSERT INTO sy_user_branches (USER_CD, BRANCH_CODE, CLASS_CODE, ENT_BY, ENT_DATE, ENT_BY_IP)</v>
      </c>
      <c r="V175" s="12" t="str">
        <f t="shared" si="51"/>
        <v>values('08801804','01', '08', 'ABDUL', sysdate, '10.6.100.63');</v>
      </c>
      <c r="W175" s="12" t="str">
        <f t="shared" si="52"/>
        <v>INSERT INTO sy_perm_list (USER_CD, OPT_CD, ACCESS_TYPE, BRANCH_CODE, CLASS_CODE, ENT_BY, ENT_DATE, ENT_BY_IP)</v>
      </c>
      <c r="X175" s="12" t="str">
        <f t="shared" si="53"/>
        <v>VALUES('08801804','ClaimComments.aspx', 'USER', '01', '08', 'ABDUL', SYSDATE, '10.6.100.63');</v>
      </c>
      <c r="Y175" s="12" t="str">
        <f t="shared" si="54"/>
        <v>INSERT INTO sy_perm_list (USER_CD, OPT_CD, ACCESS_TYPE, BRANCH_CODE, CLASS_CODE, ENT_BY, ENT_DATE, ENT_BY_IP)</v>
      </c>
      <c r="Z175" s="12" t="str">
        <f t="shared" si="55"/>
        <v>VALUES('08801804','ClaimDocs.aspx', 'USER', '01', '08', 'ABDUL', SYSDATE, '10.6.100.63');</v>
      </c>
      <c r="AA175" s="12" t="str">
        <f t="shared" si="56"/>
        <v>INSERT INTO sy_perm_list (USER_CD, OPT_CD, ACCESS_TYPE, BRANCH_CODE, CLASS_CODE, ENT_BY, ENT_DATE, ENT_BY_IP)</v>
      </c>
      <c r="AB175" s="12" t="str">
        <f t="shared" si="57"/>
        <v>VALUES('08801804','Client.aspx', 'USER', '01', '08', 'ABDUL', SYSDATE, '10.6.100.63');</v>
      </c>
      <c r="AC175" s="12" t="str">
        <f t="shared" si="58"/>
        <v>INSERT INTO sy_perm_list (USER_CD, OPT_CD, ACCESS_TYPE, BRANCH_CODE, CLASS_CODE, ENT_BY, ENT_DATE, ENT_BY_IP)</v>
      </c>
      <c r="AD175" s="12" t="str">
        <f t="shared" si="59"/>
        <v>VALUES('08801804','ClientReports.aspx', 'USER', '01', '08', 'ABDUL', SYSDATE, '10.6.100.63');</v>
      </c>
      <c r="AE175" s="12" t="str">
        <f t="shared" si="60"/>
        <v>INSERT INTO sy_perm_list (USER_CD, OPT_CD, ACCESS_TYPE, BRANCH_CODE, CLASS_CODE, ENT_BY, ENT_DATE, ENT_BY_IP)</v>
      </c>
      <c r="AF175" s="12" t="str">
        <f t="shared" si="61"/>
        <v>VALUES('08801804','ClientRequests.aspx', 'USER', '01', '08', 'ABDUL', SYSDATE, '10.6.100.63');</v>
      </c>
      <c r="AG175" s="12" t="str">
        <f t="shared" si="62"/>
        <v>INSERT INTO sy_perm_list (USER_CD, OPT_CD, ACCESS_TYPE, BRANCH_CODE, CLASS_CODE, ENT_BY, ENT_DATE, ENT_BY_IP)</v>
      </c>
      <c r="AH175" s="12" t="str">
        <f t="shared" si="63"/>
        <v>VALUES('08801804','HealthLife.aspx', 'USER', '01', '08', 'ABDUL', SYSDATE, '10.6.100.63');</v>
      </c>
      <c r="AI175" s="12" t="str">
        <f t="shared" si="64"/>
        <v>INSERT INTO sy_perm_list (USER_CD, OPT_CD, ACCESS_TYPE, BRANCH_CODE, CLASS_CODE, ENT_BY, ENT_DATE, ENT_BY_IP)</v>
      </c>
      <c r="AJ175" s="12" t="str">
        <f t="shared" si="65"/>
        <v>VALUES('08801804','IpdClaim.aspx', 'USER', '01', '08', 'ABDUL', SYSDATE, '10.6.100.63');</v>
      </c>
      <c r="AK175" s="12" t="str">
        <f t="shared" si="66"/>
        <v>INSERT INTO sy_perm_list (USER_CD, OPT_CD, ACCESS_TYPE, BRANCH_CODE, CLASS_CODE, ENT_BY, ENT_DATE, ENT_BY_IP)</v>
      </c>
      <c r="AL175" s="12" t="str">
        <f t="shared" si="67"/>
        <v>VALUES('08801804','OpdClaim.aspx', 'USER', '01', '08', 'ABDUL', SYSDATE, '10.6.100.63');</v>
      </c>
      <c r="AM175" s="12" t="str">
        <f t="shared" si="68"/>
        <v>INSERT INTO sy_perm_list (USER_CD, OPT_CD, ACCESS_TYPE, BRANCH_CODE, CLASS_CODE, ENT_BY, ENT_DATE, ENT_BY_IP)</v>
      </c>
      <c r="AN175" s="12" t="str">
        <f t="shared" si="69"/>
        <v>VALUES('08801804','RequestDetails.aspx', 'USER', '01', '08', 'ABDUL', SYSDATE, '10.6.100.63');</v>
      </c>
      <c r="AO175" s="12" t="str">
        <f t="shared" si="70"/>
        <v>INSERT INTO sy_perm_list (USER_CD, OPT_CD, ACCESS_TYPE, BRANCH_CODE, CLASS_CODE, ENT_BY, ENT_DATE, ENT_BY_IP)</v>
      </c>
      <c r="AP175" s="12" t="str">
        <f t="shared" si="71"/>
        <v>VALUES('08801804','TodaysRequest.aspx', 'USER', '01', '08', 'ABDUL', SYSDATE, '10.6.100.63');</v>
      </c>
    </row>
    <row r="176" spans="1:42" s="6" customFormat="1" ht="76.5" x14ac:dyDescent="0.2">
      <c r="A176" s="4">
        <v>157</v>
      </c>
      <c r="B176" s="5" t="s">
        <v>807</v>
      </c>
      <c r="C176" s="5">
        <v>9000289</v>
      </c>
      <c r="D176" s="6" t="s">
        <v>387</v>
      </c>
      <c r="E176" s="6" t="s">
        <v>290</v>
      </c>
      <c r="F176" s="5" t="s">
        <v>287</v>
      </c>
      <c r="G176" s="6" t="s">
        <v>288</v>
      </c>
      <c r="H176" s="5" t="s">
        <v>649</v>
      </c>
      <c r="I176" s="5">
        <v>765</v>
      </c>
      <c r="J176" s="5" t="s">
        <v>483</v>
      </c>
      <c r="K176" s="6" t="s">
        <v>87</v>
      </c>
      <c r="L176" s="6" t="s">
        <v>116</v>
      </c>
      <c r="M176" s="6" t="s">
        <v>57</v>
      </c>
      <c r="N176" s="7">
        <v>44237</v>
      </c>
      <c r="O176" s="7">
        <v>44228</v>
      </c>
      <c r="P176" s="7">
        <v>44592</v>
      </c>
      <c r="Q176" s="8">
        <v>17</v>
      </c>
      <c r="R176" s="8">
        <v>17</v>
      </c>
      <c r="S176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6" s="12" t="str">
        <f t="shared" si="49"/>
        <v>VALUES('08801752','ZEGATRON SMC (PVT) LIMITED','Salaam@123','Y','N',sysdate,'016', 'C', 'Client', 'asim@zegatron.com','01','B', '08', 'ABDUL', sysdate, '10.6.100.63', '08801752');</v>
      </c>
      <c r="U176" s="12" t="str">
        <f t="shared" si="50"/>
        <v>INSERT INTO sy_user_branches (USER_CD, BRANCH_CODE, CLASS_CODE, ENT_BY, ENT_DATE, ENT_BY_IP)</v>
      </c>
      <c r="V176" s="12" t="str">
        <f t="shared" si="51"/>
        <v>values('08801752','01', '08', 'ABDUL', sysdate, '10.6.100.63');</v>
      </c>
      <c r="W176" s="12" t="str">
        <f t="shared" si="52"/>
        <v>INSERT INTO sy_perm_list (USER_CD, OPT_CD, ACCESS_TYPE, BRANCH_CODE, CLASS_CODE, ENT_BY, ENT_DATE, ENT_BY_IP)</v>
      </c>
      <c r="X176" s="12" t="str">
        <f t="shared" si="53"/>
        <v>VALUES('08801752','ClaimComments.aspx', 'USER', '01', '08', 'ABDUL', SYSDATE, '10.6.100.63');</v>
      </c>
      <c r="Y176" s="12" t="str">
        <f t="shared" si="54"/>
        <v>INSERT INTO sy_perm_list (USER_CD, OPT_CD, ACCESS_TYPE, BRANCH_CODE, CLASS_CODE, ENT_BY, ENT_DATE, ENT_BY_IP)</v>
      </c>
      <c r="Z176" s="12" t="str">
        <f t="shared" si="55"/>
        <v>VALUES('08801752','ClaimDocs.aspx', 'USER', '01', '08', 'ABDUL', SYSDATE, '10.6.100.63');</v>
      </c>
      <c r="AA176" s="12" t="str">
        <f t="shared" si="56"/>
        <v>INSERT INTO sy_perm_list (USER_CD, OPT_CD, ACCESS_TYPE, BRANCH_CODE, CLASS_CODE, ENT_BY, ENT_DATE, ENT_BY_IP)</v>
      </c>
      <c r="AB176" s="12" t="str">
        <f t="shared" si="57"/>
        <v>VALUES('08801752','Client.aspx', 'USER', '01', '08', 'ABDUL', SYSDATE, '10.6.100.63');</v>
      </c>
      <c r="AC176" s="12" t="str">
        <f t="shared" si="58"/>
        <v>INSERT INTO sy_perm_list (USER_CD, OPT_CD, ACCESS_TYPE, BRANCH_CODE, CLASS_CODE, ENT_BY, ENT_DATE, ENT_BY_IP)</v>
      </c>
      <c r="AD176" s="12" t="str">
        <f t="shared" si="59"/>
        <v>VALUES('08801752','ClientReports.aspx', 'USER', '01', '08', 'ABDUL', SYSDATE, '10.6.100.63');</v>
      </c>
      <c r="AE176" s="12" t="str">
        <f t="shared" si="60"/>
        <v>INSERT INTO sy_perm_list (USER_CD, OPT_CD, ACCESS_TYPE, BRANCH_CODE, CLASS_CODE, ENT_BY, ENT_DATE, ENT_BY_IP)</v>
      </c>
      <c r="AF176" s="12" t="str">
        <f t="shared" si="61"/>
        <v>VALUES('08801752','ClientRequests.aspx', 'USER', '01', '08', 'ABDUL', SYSDATE, '10.6.100.63');</v>
      </c>
      <c r="AG176" s="12" t="str">
        <f t="shared" si="62"/>
        <v>INSERT INTO sy_perm_list (USER_CD, OPT_CD, ACCESS_TYPE, BRANCH_CODE, CLASS_CODE, ENT_BY, ENT_DATE, ENT_BY_IP)</v>
      </c>
      <c r="AH176" s="12" t="str">
        <f t="shared" si="63"/>
        <v>VALUES('08801752','HealthLife.aspx', 'USER', '01', '08', 'ABDUL', SYSDATE, '10.6.100.63');</v>
      </c>
      <c r="AI176" s="12" t="str">
        <f t="shared" si="64"/>
        <v>INSERT INTO sy_perm_list (USER_CD, OPT_CD, ACCESS_TYPE, BRANCH_CODE, CLASS_CODE, ENT_BY, ENT_DATE, ENT_BY_IP)</v>
      </c>
      <c r="AJ176" s="12" t="str">
        <f t="shared" si="65"/>
        <v>VALUES('08801752','IpdClaim.aspx', 'USER', '01', '08', 'ABDUL', SYSDATE, '10.6.100.63');</v>
      </c>
      <c r="AK176" s="12" t="str">
        <f t="shared" si="66"/>
        <v>INSERT INTO sy_perm_list (USER_CD, OPT_CD, ACCESS_TYPE, BRANCH_CODE, CLASS_CODE, ENT_BY, ENT_DATE, ENT_BY_IP)</v>
      </c>
      <c r="AL176" s="12" t="str">
        <f t="shared" si="67"/>
        <v>VALUES('08801752','OpdClaim.aspx', 'USER', '01', '08', 'ABDUL', SYSDATE, '10.6.100.63');</v>
      </c>
      <c r="AM176" s="12" t="str">
        <f t="shared" si="68"/>
        <v>INSERT INTO sy_perm_list (USER_CD, OPT_CD, ACCESS_TYPE, BRANCH_CODE, CLASS_CODE, ENT_BY, ENT_DATE, ENT_BY_IP)</v>
      </c>
      <c r="AN176" s="12" t="str">
        <f t="shared" si="69"/>
        <v>VALUES('08801752','RequestDetails.aspx', 'USER', '01', '08', 'ABDUL', SYSDATE, '10.6.100.63');</v>
      </c>
      <c r="AO176" s="12" t="str">
        <f t="shared" si="70"/>
        <v>INSERT INTO sy_perm_list (USER_CD, OPT_CD, ACCESS_TYPE, BRANCH_CODE, CLASS_CODE, ENT_BY, ENT_DATE, ENT_BY_IP)</v>
      </c>
      <c r="AP176" s="12" t="str">
        <f t="shared" si="71"/>
        <v>VALUES('08801752','TodaysRequest.aspx', 'USER', '01', '08', 'ABDUL', SYSDATE, '10.6.100.63');</v>
      </c>
    </row>
    <row r="177" spans="1:42" s="6" customFormat="1" ht="76.5" x14ac:dyDescent="0.2">
      <c r="A177" s="4">
        <v>158</v>
      </c>
      <c r="B177" s="5" t="s">
        <v>808</v>
      </c>
      <c r="C177"/>
      <c r="D177"/>
      <c r="E177"/>
      <c r="F177" s="5" t="s">
        <v>287</v>
      </c>
      <c r="G177" s="6" t="s">
        <v>288</v>
      </c>
      <c r="H177"/>
      <c r="I177"/>
      <c r="J177" s="5" t="s">
        <v>654</v>
      </c>
      <c r="K177" s="6" t="s">
        <v>653</v>
      </c>
      <c r="L177" s="6" t="s">
        <v>657</v>
      </c>
      <c r="M177" s="6" t="s">
        <v>658</v>
      </c>
      <c r="N177"/>
      <c r="O177"/>
      <c r="P177"/>
      <c r="Q177"/>
      <c r="R177"/>
      <c r="S177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7" s="12" t="str">
        <f>"VALUES('"&amp;B177&amp;"','"&amp;K177&amp;"','Salaam@123','Y','N',sysdate,'016', 'C', 'Client', '"&amp;M177&amp;"','01','B', '08', 'ABDUL', sysdate, '10.6.100.63', '"&amp;B177&amp;"');"</f>
        <v>VALUES('08801872','The Paracha Textile Mills','Salaam@123','Y','N',sysdate,'016', 'C', 'Client', 'abdul.aala@mezangrp.com','01','B', '08', 'ABDUL', sysdate, '10.6.100.63', '08801872');</v>
      </c>
      <c r="U177" s="12" t="str">
        <f t="shared" si="50"/>
        <v>INSERT INTO sy_user_branches (USER_CD, BRANCH_CODE, CLASS_CODE, ENT_BY, ENT_DATE, ENT_BY_IP)</v>
      </c>
      <c r="V177" s="12" t="str">
        <f>"values('"&amp;B177&amp;"','01', '08', 'ABDUL', sysdate, '10.6.100.63');"</f>
        <v>values('08801872','01', '08', 'ABDUL', sysdate, '10.6.100.63');</v>
      </c>
      <c r="W177" s="12" t="str">
        <f t="shared" si="52"/>
        <v>INSERT INTO sy_perm_list (USER_CD, OPT_CD, ACCESS_TYPE, BRANCH_CODE, CLASS_CODE, ENT_BY, ENT_DATE, ENT_BY_IP)</v>
      </c>
      <c r="X177" s="12" t="str">
        <f>"VALUES('"&amp;B177&amp;"','ClaimComments.aspx', 'USER', '01', '08', 'ABDUL', SYSDATE, '10.6.100.63');"</f>
        <v>VALUES('08801872','ClaimComments.aspx', 'USER', '01', '08', 'ABDUL', SYSDATE, '10.6.100.63');</v>
      </c>
      <c r="Y177" s="12" t="str">
        <f t="shared" si="54"/>
        <v>INSERT INTO sy_perm_list (USER_CD, OPT_CD, ACCESS_TYPE, BRANCH_CODE, CLASS_CODE, ENT_BY, ENT_DATE, ENT_BY_IP)</v>
      </c>
      <c r="Z177" s="12" t="str">
        <f>"VALUES('"&amp;B177&amp;"','ClaimDocs.aspx', 'USER', '01', '08', 'ABDUL', SYSDATE, '10.6.100.63');"</f>
        <v>VALUES('08801872','ClaimDocs.aspx', 'USER', '01', '08', 'ABDUL', SYSDATE, '10.6.100.63');</v>
      </c>
      <c r="AA177" s="12" t="str">
        <f t="shared" si="56"/>
        <v>INSERT INTO sy_perm_list (USER_CD, OPT_CD, ACCESS_TYPE, BRANCH_CODE, CLASS_CODE, ENT_BY, ENT_DATE, ENT_BY_IP)</v>
      </c>
      <c r="AB177" s="12" t="str">
        <f t="shared" ref="AB177:AB182" si="72">"VALUES('"&amp;B177&amp;"','Client.aspx', 'USER', '01', '08', 'ABDUL', SYSDATE, '10.6.100.63');"</f>
        <v>VALUES('08801872','Client.aspx', 'USER', '01', '08', 'ABDUL', SYSDATE, '10.6.100.63');</v>
      </c>
      <c r="AC177" s="12" t="str">
        <f t="shared" si="58"/>
        <v>INSERT INTO sy_perm_list (USER_CD, OPT_CD, ACCESS_TYPE, BRANCH_CODE, CLASS_CODE, ENT_BY, ENT_DATE, ENT_BY_IP)</v>
      </c>
      <c r="AD177" s="12" t="str">
        <f t="shared" ref="AD177:AD182" si="73">"VALUES('"&amp;B177&amp;"','ClientReports.aspx', 'USER', '01', '08', 'ABDUL', SYSDATE, '10.6.100.63');"</f>
        <v>VALUES('08801872','ClientReports.aspx', 'USER', '01', '08', 'ABDUL', SYSDATE, '10.6.100.63');</v>
      </c>
      <c r="AE177" s="12" t="str">
        <f t="shared" si="60"/>
        <v>INSERT INTO sy_perm_list (USER_CD, OPT_CD, ACCESS_TYPE, BRANCH_CODE, CLASS_CODE, ENT_BY, ENT_DATE, ENT_BY_IP)</v>
      </c>
      <c r="AF177" s="12" t="str">
        <f t="shared" ref="AF177:AF182" si="74">"VALUES('"&amp;B177&amp;"','ClientRequests.aspx', 'USER', '01', '08', 'ABDUL', SYSDATE, '10.6.100.63');"</f>
        <v>VALUES('08801872','ClientRequests.aspx', 'USER', '01', '08', 'ABDUL', SYSDATE, '10.6.100.63');</v>
      </c>
      <c r="AG177" s="12" t="str">
        <f t="shared" si="62"/>
        <v>INSERT INTO sy_perm_list (USER_CD, OPT_CD, ACCESS_TYPE, BRANCH_CODE, CLASS_CODE, ENT_BY, ENT_DATE, ENT_BY_IP)</v>
      </c>
      <c r="AH177" s="12" t="str">
        <f t="shared" ref="AH177:AH182" si="75">"VALUES('"&amp;B177&amp;"','HealthLife.aspx', 'USER', '01', '08', 'ABDUL', SYSDATE, '10.6.100.63');"</f>
        <v>VALUES('08801872','HealthLife.aspx', 'USER', '01', '08', 'ABDUL', SYSDATE, '10.6.100.63');</v>
      </c>
      <c r="AI177" s="12" t="str">
        <f t="shared" si="64"/>
        <v>INSERT INTO sy_perm_list (USER_CD, OPT_CD, ACCESS_TYPE, BRANCH_CODE, CLASS_CODE, ENT_BY, ENT_DATE, ENT_BY_IP)</v>
      </c>
      <c r="AJ177" s="12" t="str">
        <f t="shared" ref="AJ177:AJ208" si="76">"VALUES('"&amp;B177&amp;"','IpdClaim.aspx', 'USER', '01', '08', 'ABDUL', SYSDATE, '10.6.100.63');"</f>
        <v>VALUES('08801872','IpdClaim.aspx', 'USER', '01', '08', 'ABDUL', SYSDATE, '10.6.100.63');</v>
      </c>
      <c r="AK177" s="12" t="str">
        <f t="shared" si="66"/>
        <v>INSERT INTO sy_perm_list (USER_CD, OPT_CD, ACCESS_TYPE, BRANCH_CODE, CLASS_CODE, ENT_BY, ENT_DATE, ENT_BY_IP)</v>
      </c>
      <c r="AL177" s="12" t="str">
        <f t="shared" ref="AL177:AL208" si="77">"VALUES('"&amp;B177&amp;"','OpdClaim.aspx', 'USER', '01', '08', 'ABDUL', SYSDATE, '10.6.100.63');"</f>
        <v>VALUES('08801872','OpdClaim.aspx', 'USER', '01', '08', 'ABDUL', SYSDATE, '10.6.100.63');</v>
      </c>
      <c r="AM177" s="12" t="str">
        <f t="shared" si="68"/>
        <v>INSERT INTO sy_perm_list (USER_CD, OPT_CD, ACCESS_TYPE, BRANCH_CODE, CLASS_CODE, ENT_BY, ENT_DATE, ENT_BY_IP)</v>
      </c>
      <c r="AN177" s="12" t="str">
        <f t="shared" ref="AN177:AN208" si="78">"VALUES('"&amp;B177&amp;"','RequestDetails.aspx', 'USER', '01', '08', 'ABDUL', SYSDATE, '10.6.100.63');"</f>
        <v>VALUES('08801872','RequestDetails.aspx', 'USER', '01', '08', 'ABDUL', SYSDATE, '10.6.100.63');</v>
      </c>
      <c r="AO177" s="12" t="str">
        <f t="shared" si="70"/>
        <v>INSERT INTO sy_perm_list (USER_CD, OPT_CD, ACCESS_TYPE, BRANCH_CODE, CLASS_CODE, ENT_BY, ENT_DATE, ENT_BY_IP)</v>
      </c>
      <c r="AP177" s="12" t="str">
        <f t="shared" ref="AP177:AP208" si="79">"VALUES('"&amp;B177&amp;"','TodaysRequest.aspx', 'USER', '01', '08', 'ABDUL', SYSDATE, '10.6.100.63');"</f>
        <v>VALUES('08801872','TodaysRequest.aspx', 'USER', '01', '08', 'ABDUL', SYSDATE, '10.6.100.63');</v>
      </c>
    </row>
    <row r="178" spans="1:42" s="6" customFormat="1" ht="76.5" x14ac:dyDescent="0.2">
      <c r="A178" s="4">
        <v>159</v>
      </c>
      <c r="B178" s="5" t="s">
        <v>809</v>
      </c>
      <c r="C178"/>
      <c r="D178"/>
      <c r="E178"/>
      <c r="F178" s="5" t="s">
        <v>287</v>
      </c>
      <c r="G178" s="6" t="s">
        <v>288</v>
      </c>
      <c r="H178"/>
      <c r="I178"/>
      <c r="J178" s="5" t="s">
        <v>655</v>
      </c>
      <c r="K178" s="6" t="s">
        <v>656</v>
      </c>
      <c r="L178" s="6" t="s">
        <v>657</v>
      </c>
      <c r="M178" s="6" t="s">
        <v>658</v>
      </c>
      <c r="N178"/>
      <c r="O178"/>
      <c r="P178"/>
      <c r="Q178"/>
      <c r="R178"/>
      <c r="S178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8" s="12" t="str">
        <f>"VALUES('"&amp;B178&amp;"','"&amp;K178&amp;"','Salaam@123','Y','N',sysdate,'016', 'C', 'Client', '"&amp;M178&amp;"','01','B', '08', 'ABDUL', sysdate, '10.6.100.63', '"&amp;B178&amp;"');"</f>
        <v>VALUES('08801873','Mezan Team (Pvt) Ltd','Salaam@123','Y','N',sysdate,'016', 'C', 'Client', 'abdul.aala@mezangrp.com','01','B', '08', 'ABDUL', sysdate, '10.6.100.63', '08801873');</v>
      </c>
      <c r="U178" s="12" t="str">
        <f t="shared" si="50"/>
        <v>INSERT INTO sy_user_branches (USER_CD, BRANCH_CODE, CLASS_CODE, ENT_BY, ENT_DATE, ENT_BY_IP)</v>
      </c>
      <c r="V178" s="12" t="str">
        <f>"values('"&amp;B178&amp;"','01', '08', 'ABDUL', sysdate, '10.6.100.63');"</f>
        <v>values('08801873','01', '08', 'ABDUL', sysdate, '10.6.100.63');</v>
      </c>
      <c r="W178" s="12" t="str">
        <f t="shared" si="52"/>
        <v>INSERT INTO sy_perm_list (USER_CD, OPT_CD, ACCESS_TYPE, BRANCH_CODE, CLASS_CODE, ENT_BY, ENT_DATE, ENT_BY_IP)</v>
      </c>
      <c r="X178" s="12" t="str">
        <f>"VALUES('"&amp;B178&amp;"','ClaimComments.aspx', 'USER', '01', '08', 'ABDUL', SYSDATE, '10.6.100.63');"</f>
        <v>VALUES('08801873','ClaimComments.aspx', 'USER', '01', '08', 'ABDUL', SYSDATE, '10.6.100.63');</v>
      </c>
      <c r="Y178" s="12" t="str">
        <f t="shared" si="54"/>
        <v>INSERT INTO sy_perm_list (USER_CD, OPT_CD, ACCESS_TYPE, BRANCH_CODE, CLASS_CODE, ENT_BY, ENT_DATE, ENT_BY_IP)</v>
      </c>
      <c r="Z178" s="12" t="str">
        <f>"VALUES('"&amp;B178&amp;"','ClaimDocs.aspx', 'USER', '01', '08', 'ABDUL', SYSDATE, '10.6.100.63');"</f>
        <v>VALUES('08801873','ClaimDocs.aspx', 'USER', '01', '08', 'ABDUL', SYSDATE, '10.6.100.63');</v>
      </c>
      <c r="AA178" s="12" t="str">
        <f t="shared" si="56"/>
        <v>INSERT INTO sy_perm_list (USER_CD, OPT_CD, ACCESS_TYPE, BRANCH_CODE, CLASS_CODE, ENT_BY, ENT_DATE, ENT_BY_IP)</v>
      </c>
      <c r="AB178" s="12" t="str">
        <f t="shared" si="72"/>
        <v>VALUES('08801873','Client.aspx', 'USER', '01', '08', 'ABDUL', SYSDATE, '10.6.100.63');</v>
      </c>
      <c r="AC178" s="12" t="str">
        <f t="shared" si="58"/>
        <v>INSERT INTO sy_perm_list (USER_CD, OPT_CD, ACCESS_TYPE, BRANCH_CODE, CLASS_CODE, ENT_BY, ENT_DATE, ENT_BY_IP)</v>
      </c>
      <c r="AD178" s="12" t="str">
        <f t="shared" si="73"/>
        <v>VALUES('08801873','ClientReports.aspx', 'USER', '01', '08', 'ABDUL', SYSDATE, '10.6.100.63');</v>
      </c>
      <c r="AE178" s="12" t="str">
        <f t="shared" si="60"/>
        <v>INSERT INTO sy_perm_list (USER_CD, OPT_CD, ACCESS_TYPE, BRANCH_CODE, CLASS_CODE, ENT_BY, ENT_DATE, ENT_BY_IP)</v>
      </c>
      <c r="AF178" s="12" t="str">
        <f t="shared" si="74"/>
        <v>VALUES('08801873','ClientRequests.aspx', 'USER', '01', '08', 'ABDUL', SYSDATE, '10.6.100.63');</v>
      </c>
      <c r="AG178" s="12" t="str">
        <f t="shared" si="62"/>
        <v>INSERT INTO sy_perm_list (USER_CD, OPT_CD, ACCESS_TYPE, BRANCH_CODE, CLASS_CODE, ENT_BY, ENT_DATE, ENT_BY_IP)</v>
      </c>
      <c r="AH178" s="12" t="str">
        <f t="shared" si="75"/>
        <v>VALUES('08801873','HealthLife.aspx', 'USER', '01', '08', 'ABDUL', SYSDATE, '10.6.100.63');</v>
      </c>
      <c r="AI178" s="12" t="str">
        <f t="shared" si="64"/>
        <v>INSERT INTO sy_perm_list (USER_CD, OPT_CD, ACCESS_TYPE, BRANCH_CODE, CLASS_CODE, ENT_BY, ENT_DATE, ENT_BY_IP)</v>
      </c>
      <c r="AJ178" s="12" t="str">
        <f t="shared" si="76"/>
        <v>VALUES('08801873','IpdClaim.aspx', 'USER', '01', '08', 'ABDUL', SYSDATE, '10.6.100.63');</v>
      </c>
      <c r="AK178" s="12" t="str">
        <f t="shared" si="66"/>
        <v>INSERT INTO sy_perm_list (USER_CD, OPT_CD, ACCESS_TYPE, BRANCH_CODE, CLASS_CODE, ENT_BY, ENT_DATE, ENT_BY_IP)</v>
      </c>
      <c r="AL178" s="12" t="str">
        <f t="shared" si="77"/>
        <v>VALUES('08801873','OpdClaim.aspx', 'USER', '01', '08', 'ABDUL', SYSDATE, '10.6.100.63');</v>
      </c>
      <c r="AM178" s="12" t="str">
        <f t="shared" si="68"/>
        <v>INSERT INTO sy_perm_list (USER_CD, OPT_CD, ACCESS_TYPE, BRANCH_CODE, CLASS_CODE, ENT_BY, ENT_DATE, ENT_BY_IP)</v>
      </c>
      <c r="AN178" s="12" t="str">
        <f t="shared" si="78"/>
        <v>VALUES('08801873','RequestDetails.aspx', 'USER', '01', '08', 'ABDUL', SYSDATE, '10.6.100.63');</v>
      </c>
      <c r="AO178" s="12" t="str">
        <f t="shared" si="70"/>
        <v>INSERT INTO sy_perm_list (USER_CD, OPT_CD, ACCESS_TYPE, BRANCH_CODE, CLASS_CODE, ENT_BY, ENT_DATE, ENT_BY_IP)</v>
      </c>
      <c r="AP178" s="12" t="str">
        <f t="shared" si="79"/>
        <v>VALUES('08801873','TodaysRequest.aspx', 'USER', '01', '08', 'ABDUL', SYSDATE, '10.6.100.63');</v>
      </c>
    </row>
    <row r="179" spans="1:42" s="6" customFormat="1" ht="76.5" x14ac:dyDescent="0.2">
      <c r="A179" s="4">
        <v>160</v>
      </c>
      <c r="B179" s="14" t="s">
        <v>823</v>
      </c>
      <c r="C179"/>
      <c r="D179"/>
      <c r="E179"/>
      <c r="F179" s="5" t="s">
        <v>287</v>
      </c>
      <c r="G179" s="6" t="s">
        <v>288</v>
      </c>
      <c r="H179"/>
      <c r="I179"/>
      <c r="J179" s="15" t="s">
        <v>824</v>
      </c>
      <c r="K179" s="14" t="s">
        <v>825</v>
      </c>
      <c r="L179" s="14" t="s">
        <v>826</v>
      </c>
      <c r="M179" s="16" t="s">
        <v>827</v>
      </c>
      <c r="N179"/>
      <c r="O179"/>
      <c r="P179"/>
      <c r="Q179"/>
      <c r="R179"/>
      <c r="S179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79" s="12" t="str">
        <f>"VALUES('"&amp;B179&amp;"','"&amp;K179&amp;"','Salaam@123','Y','N',sysdate,'016', 'C', 'Client', '"&amp;M179&amp;"','01','B', '08', 'ABDUL', sysdate, '10.6.100.63', '"&amp;B179&amp;"');"</f>
        <v>VALUES('08801893','Onco Pharma','Salaam@123','Y','N',sysdate,'016', 'C', 'Client', 'zahid@oncopharma.org','01','B', '08', 'ABDUL', sysdate, '10.6.100.63', '08801893');</v>
      </c>
      <c r="U179" s="12" t="str">
        <f t="shared" si="50"/>
        <v>INSERT INTO sy_user_branches (USER_CD, BRANCH_CODE, CLASS_CODE, ENT_BY, ENT_DATE, ENT_BY_IP)</v>
      </c>
      <c r="V179" s="12" t="str">
        <f>"values('"&amp;B179&amp;"','01', '08', 'ABDUL', sysdate, '10.6.100.63');"</f>
        <v>values('08801893','01', '08', 'ABDUL', sysdate, '10.6.100.63');</v>
      </c>
      <c r="W179" s="12" t="str">
        <f t="shared" si="52"/>
        <v>INSERT INTO sy_perm_list (USER_CD, OPT_CD, ACCESS_TYPE, BRANCH_CODE, CLASS_CODE, ENT_BY, ENT_DATE, ENT_BY_IP)</v>
      </c>
      <c r="X179" s="12" t="str">
        <f>"VALUES('"&amp;B179&amp;"','ClaimComments.aspx', 'USER', '01', '08', 'ABDUL', SYSDATE, '10.6.100.63');"</f>
        <v>VALUES('08801893','ClaimComments.aspx', 'USER', '01', '08', 'ABDUL', SYSDATE, '10.6.100.63');</v>
      </c>
      <c r="Y179" s="12" t="str">
        <f t="shared" si="54"/>
        <v>INSERT INTO sy_perm_list (USER_CD, OPT_CD, ACCESS_TYPE, BRANCH_CODE, CLASS_CODE, ENT_BY, ENT_DATE, ENT_BY_IP)</v>
      </c>
      <c r="Z179" s="12" t="str">
        <f>"VALUES('"&amp;B179&amp;"','ClaimDocs.aspx', 'USER', '01', '08', 'ABDUL', SYSDATE, '10.6.100.63');"</f>
        <v>VALUES('08801893','ClaimDocs.aspx', 'USER', '01', '08', 'ABDUL', SYSDATE, '10.6.100.63');</v>
      </c>
      <c r="AA179" s="12" t="str">
        <f t="shared" si="56"/>
        <v>INSERT INTO sy_perm_list (USER_CD, OPT_CD, ACCESS_TYPE, BRANCH_CODE, CLASS_CODE, ENT_BY, ENT_DATE, ENT_BY_IP)</v>
      </c>
      <c r="AB179" s="12" t="str">
        <f t="shared" si="72"/>
        <v>VALUES('08801893','Client.aspx', 'USER', '01', '08', 'ABDUL', SYSDATE, '10.6.100.63');</v>
      </c>
      <c r="AC179" s="12" t="str">
        <f t="shared" si="58"/>
        <v>INSERT INTO sy_perm_list (USER_CD, OPT_CD, ACCESS_TYPE, BRANCH_CODE, CLASS_CODE, ENT_BY, ENT_DATE, ENT_BY_IP)</v>
      </c>
      <c r="AD179" s="12" t="str">
        <f t="shared" si="73"/>
        <v>VALUES('08801893','ClientReports.aspx', 'USER', '01', '08', 'ABDUL', SYSDATE, '10.6.100.63');</v>
      </c>
      <c r="AE179" s="12" t="str">
        <f t="shared" si="60"/>
        <v>INSERT INTO sy_perm_list (USER_CD, OPT_CD, ACCESS_TYPE, BRANCH_CODE, CLASS_CODE, ENT_BY, ENT_DATE, ENT_BY_IP)</v>
      </c>
      <c r="AF179" s="12" t="str">
        <f t="shared" si="74"/>
        <v>VALUES('08801893','ClientRequests.aspx', 'USER', '01', '08', 'ABDUL', SYSDATE, '10.6.100.63');</v>
      </c>
      <c r="AG179" s="12" t="str">
        <f t="shared" si="62"/>
        <v>INSERT INTO sy_perm_list (USER_CD, OPT_CD, ACCESS_TYPE, BRANCH_CODE, CLASS_CODE, ENT_BY, ENT_DATE, ENT_BY_IP)</v>
      </c>
      <c r="AH179" s="12" t="str">
        <f t="shared" si="75"/>
        <v>VALUES('08801893','HealthLife.aspx', 'USER', '01', '08', 'ABDUL', SYSDATE, '10.6.100.63');</v>
      </c>
      <c r="AI179" s="12" t="str">
        <f t="shared" si="64"/>
        <v>INSERT INTO sy_perm_list (USER_CD, OPT_CD, ACCESS_TYPE, BRANCH_CODE, CLASS_CODE, ENT_BY, ENT_DATE, ENT_BY_IP)</v>
      </c>
      <c r="AJ179" s="12" t="str">
        <f t="shared" si="76"/>
        <v>VALUES('08801893','IpdClaim.aspx', 'USER', '01', '08', 'ABDUL', SYSDATE, '10.6.100.63');</v>
      </c>
      <c r="AK179" s="12" t="str">
        <f t="shared" si="66"/>
        <v>INSERT INTO sy_perm_list (USER_CD, OPT_CD, ACCESS_TYPE, BRANCH_CODE, CLASS_CODE, ENT_BY, ENT_DATE, ENT_BY_IP)</v>
      </c>
      <c r="AL179" s="12" t="str">
        <f t="shared" si="77"/>
        <v>VALUES('08801893','OpdClaim.aspx', 'USER', '01', '08', 'ABDUL', SYSDATE, '10.6.100.63');</v>
      </c>
      <c r="AM179" s="12" t="str">
        <f t="shared" si="68"/>
        <v>INSERT INTO sy_perm_list (USER_CD, OPT_CD, ACCESS_TYPE, BRANCH_CODE, CLASS_CODE, ENT_BY, ENT_DATE, ENT_BY_IP)</v>
      </c>
      <c r="AN179" s="12" t="str">
        <f t="shared" si="78"/>
        <v>VALUES('08801893','RequestDetails.aspx', 'USER', '01', '08', 'ABDUL', SYSDATE, '10.6.100.63');</v>
      </c>
      <c r="AO179" s="12" t="str">
        <f t="shared" si="70"/>
        <v>INSERT INTO sy_perm_list (USER_CD, OPT_CD, ACCESS_TYPE, BRANCH_CODE, CLASS_CODE, ENT_BY, ENT_DATE, ENT_BY_IP)</v>
      </c>
      <c r="AP179" s="12" t="str">
        <f t="shared" si="79"/>
        <v>VALUES('08801893','TodaysRequest.aspx', 'USER', '01', '08', 'ABDUL', SYSDATE, '10.6.100.63');</v>
      </c>
    </row>
    <row r="180" spans="1:42" s="6" customFormat="1" ht="76.5" x14ac:dyDescent="0.2">
      <c r="A180" s="4">
        <v>161</v>
      </c>
      <c r="B180" s="17" t="s">
        <v>828</v>
      </c>
      <c r="C180" s="17"/>
      <c r="D180" s="6" t="s">
        <v>150</v>
      </c>
      <c r="E180" s="6" t="s">
        <v>299</v>
      </c>
      <c r="F180" s="5" t="s">
        <v>287</v>
      </c>
      <c r="G180" s="6" t="s">
        <v>288</v>
      </c>
      <c r="H180"/>
      <c r="I180"/>
      <c r="J180" s="15" t="s">
        <v>829</v>
      </c>
      <c r="K180" s="6" t="s">
        <v>830</v>
      </c>
      <c r="L180" s="6" t="s">
        <v>831</v>
      </c>
      <c r="M180" s="6" t="s">
        <v>832</v>
      </c>
      <c r="O180"/>
      <c r="P180"/>
      <c r="Q180"/>
      <c r="R180"/>
      <c r="S180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80" s="12" t="str">
        <f>"VALUES('"&amp;B180&amp;"','"&amp;K180&amp;"','Salaam@123','Y','N',sysdate,'016', 'C', 'Client', '"&amp;M180&amp;"','01','B', '08', 'ABDUL', sysdate, '10.6.100.63', '"&amp;B180&amp;"');"</f>
        <v>VALUES('08801909','Hospital Supply Corporation','Salaam@123','Y','N',sysdate,'016', 'C', 'Client', 'jawaid.mughal@hsc.com.pk','01','B', '08', 'ABDUL', sysdate, '10.6.100.63', '08801909');</v>
      </c>
      <c r="U180" s="12" t="str">
        <f t="shared" si="50"/>
        <v>INSERT INTO sy_user_branches (USER_CD, BRANCH_CODE, CLASS_CODE, ENT_BY, ENT_DATE, ENT_BY_IP)</v>
      </c>
      <c r="V180" s="12" t="str">
        <f>"values('"&amp;B180&amp;"','01', '08', 'ABDUL', sysdate, '10.6.100.63');"</f>
        <v>values('08801909','01', '08', 'ABDUL', sysdate, '10.6.100.63');</v>
      </c>
      <c r="W180" s="12" t="str">
        <f t="shared" si="52"/>
        <v>INSERT INTO sy_perm_list (USER_CD, OPT_CD, ACCESS_TYPE, BRANCH_CODE, CLASS_CODE, ENT_BY, ENT_DATE, ENT_BY_IP)</v>
      </c>
      <c r="X180" s="12" t="str">
        <f>"VALUES('"&amp;B180&amp;"','ClaimComments.aspx', 'USER', '01', '08', 'ABDUL', SYSDATE, '10.6.100.63');"</f>
        <v>VALUES('08801909','ClaimComments.aspx', 'USER', '01', '08', 'ABDUL', SYSDATE, '10.6.100.63');</v>
      </c>
      <c r="Y180" s="12" t="str">
        <f t="shared" si="54"/>
        <v>INSERT INTO sy_perm_list (USER_CD, OPT_CD, ACCESS_TYPE, BRANCH_CODE, CLASS_CODE, ENT_BY, ENT_DATE, ENT_BY_IP)</v>
      </c>
      <c r="Z180" s="12" t="str">
        <f>"VALUES('"&amp;B180&amp;"','ClaimDocs.aspx', 'USER', '01', '08', 'ABDUL', SYSDATE, '10.6.100.63');"</f>
        <v>VALUES('08801909','ClaimDocs.aspx', 'USER', '01', '08', 'ABDUL', SYSDATE, '10.6.100.63');</v>
      </c>
      <c r="AA180" s="12" t="str">
        <f t="shared" si="56"/>
        <v>INSERT INTO sy_perm_list (USER_CD, OPT_CD, ACCESS_TYPE, BRANCH_CODE, CLASS_CODE, ENT_BY, ENT_DATE, ENT_BY_IP)</v>
      </c>
      <c r="AB180" s="12" t="str">
        <f t="shared" si="72"/>
        <v>VALUES('08801909','Client.aspx', 'USER', '01', '08', 'ABDUL', SYSDATE, '10.6.100.63');</v>
      </c>
      <c r="AC180" s="12" t="str">
        <f t="shared" si="58"/>
        <v>INSERT INTO sy_perm_list (USER_CD, OPT_CD, ACCESS_TYPE, BRANCH_CODE, CLASS_CODE, ENT_BY, ENT_DATE, ENT_BY_IP)</v>
      </c>
      <c r="AD180" s="12" t="str">
        <f t="shared" si="73"/>
        <v>VALUES('08801909','ClientReports.aspx', 'USER', '01', '08', 'ABDUL', SYSDATE, '10.6.100.63');</v>
      </c>
      <c r="AE180" s="12" t="str">
        <f t="shared" si="60"/>
        <v>INSERT INTO sy_perm_list (USER_CD, OPT_CD, ACCESS_TYPE, BRANCH_CODE, CLASS_CODE, ENT_BY, ENT_DATE, ENT_BY_IP)</v>
      </c>
      <c r="AF180" s="12" t="str">
        <f t="shared" si="74"/>
        <v>VALUES('08801909','ClientRequests.aspx', 'USER', '01', '08', 'ABDUL', SYSDATE, '10.6.100.63');</v>
      </c>
      <c r="AG180" s="12" t="str">
        <f t="shared" si="62"/>
        <v>INSERT INTO sy_perm_list (USER_CD, OPT_CD, ACCESS_TYPE, BRANCH_CODE, CLASS_CODE, ENT_BY, ENT_DATE, ENT_BY_IP)</v>
      </c>
      <c r="AH180" s="12" t="str">
        <f t="shared" si="75"/>
        <v>VALUES('08801909','HealthLife.aspx', 'USER', '01', '08', 'ABDUL', SYSDATE, '10.6.100.63');</v>
      </c>
      <c r="AI180" s="12" t="str">
        <f t="shared" si="64"/>
        <v>INSERT INTO sy_perm_list (USER_CD, OPT_CD, ACCESS_TYPE, BRANCH_CODE, CLASS_CODE, ENT_BY, ENT_DATE, ENT_BY_IP)</v>
      </c>
      <c r="AJ180" s="12" t="str">
        <f t="shared" si="76"/>
        <v>VALUES('08801909','IpdClaim.aspx', 'USER', '01', '08', 'ABDUL', SYSDATE, '10.6.100.63');</v>
      </c>
      <c r="AK180" s="12" t="str">
        <f t="shared" si="66"/>
        <v>INSERT INTO sy_perm_list (USER_CD, OPT_CD, ACCESS_TYPE, BRANCH_CODE, CLASS_CODE, ENT_BY, ENT_DATE, ENT_BY_IP)</v>
      </c>
      <c r="AL180" s="12" t="str">
        <f t="shared" si="77"/>
        <v>VALUES('08801909','OpdClaim.aspx', 'USER', '01', '08', 'ABDUL', SYSDATE, '10.6.100.63');</v>
      </c>
      <c r="AM180" s="12" t="str">
        <f t="shared" si="68"/>
        <v>INSERT INTO sy_perm_list (USER_CD, OPT_CD, ACCESS_TYPE, BRANCH_CODE, CLASS_CODE, ENT_BY, ENT_DATE, ENT_BY_IP)</v>
      </c>
      <c r="AN180" s="12" t="str">
        <f t="shared" si="78"/>
        <v>VALUES('08801909','RequestDetails.aspx', 'USER', '01', '08', 'ABDUL', SYSDATE, '10.6.100.63');</v>
      </c>
      <c r="AO180" s="12" t="str">
        <f t="shared" si="70"/>
        <v>INSERT INTO sy_perm_list (USER_CD, OPT_CD, ACCESS_TYPE, BRANCH_CODE, CLASS_CODE, ENT_BY, ENT_DATE, ENT_BY_IP)</v>
      </c>
      <c r="AP180" s="12" t="str">
        <f t="shared" si="79"/>
        <v>VALUES('08801909','TodaysRequest.aspx', 'USER', '01', '08', 'ABDUL', SYSDATE, '10.6.100.63');</v>
      </c>
    </row>
    <row r="181" spans="1:42" s="6" customFormat="1" ht="76.5" x14ac:dyDescent="0.2">
      <c r="A181" s="4">
        <v>162</v>
      </c>
      <c r="B181" s="18" t="s">
        <v>833</v>
      </c>
      <c r="C181"/>
      <c r="D181" s="6" t="s">
        <v>834</v>
      </c>
      <c r="E181"/>
      <c r="F181" s="5" t="s">
        <v>287</v>
      </c>
      <c r="G181" s="6" t="s">
        <v>288</v>
      </c>
      <c r="H181"/>
      <c r="I181"/>
      <c r="J181" s="15" t="s">
        <v>835</v>
      </c>
      <c r="K181" s="6" t="s">
        <v>836</v>
      </c>
      <c r="L181" s="6" t="s">
        <v>837</v>
      </c>
      <c r="M181" s="6" t="s">
        <v>838</v>
      </c>
      <c r="N181"/>
      <c r="O181"/>
      <c r="P181"/>
      <c r="Q181"/>
      <c r="R181"/>
      <c r="S181" s="12" t="str">
        <f t="shared" si="48"/>
        <v>insert into sy_users (USER_CD, USER_NAME, USER_PASS, ACTIVE, LOCK_USER, LAST_PASS_DATE, COST_CODE, USER_CATEGORY, DESIGNATION, EMAIL, BRANCH_CODE, USER_TYPE, CLASS_CODE, ENT_BY, ENT_DATE, ENT_BY_IP,PARTTAKER_CODE)</v>
      </c>
      <c r="T181" s="12" t="str">
        <f>"VALUES('"&amp;B181&amp;"','"&amp;K181&amp;"','Salaam@123','Y','N',sysdate,'016', 'C', 'Client', '"&amp;M181&amp;"','01','B', '08', 'ABDUL', sysdate, '10.6.100.63', '"&amp;B181&amp;"');"</f>
        <v>VALUES('08801850','Karachi Chambers of Commerce Industry','Salaam@123','Y','N',sysdate,'016', 'C', 'Client', 'sohail.zakaria@kcci.com.pk','01','B', '08', 'ABDUL', sysdate, '10.6.100.63', '08801850');</v>
      </c>
      <c r="U181" s="12" t="str">
        <f t="shared" si="50"/>
        <v>INSERT INTO sy_user_branches (USER_CD, BRANCH_CODE, CLASS_CODE, ENT_BY, ENT_DATE, ENT_BY_IP)</v>
      </c>
      <c r="V181" s="12" t="str">
        <f>"values('"&amp;B181&amp;"','01', '08', 'ABDUL', sysdate, '10.6.100.63');"</f>
        <v>values('08801850','01', '08', 'ABDUL', sysdate, '10.6.100.63');</v>
      </c>
      <c r="W181" s="12" t="str">
        <f t="shared" si="52"/>
        <v>INSERT INTO sy_perm_list (USER_CD, OPT_CD, ACCESS_TYPE, BRANCH_CODE, CLASS_CODE, ENT_BY, ENT_DATE, ENT_BY_IP)</v>
      </c>
      <c r="X181" s="12" t="str">
        <f>"VALUES('"&amp;B181&amp;"','ClaimComments.aspx', 'USER', '01', '08', 'ABDUL', SYSDATE, '10.6.100.63');"</f>
        <v>VALUES('08801850','ClaimComments.aspx', 'USER', '01', '08', 'ABDUL', SYSDATE, '10.6.100.63');</v>
      </c>
      <c r="Y181" s="12" t="str">
        <f t="shared" si="54"/>
        <v>INSERT INTO sy_perm_list (USER_CD, OPT_CD, ACCESS_TYPE, BRANCH_CODE, CLASS_CODE, ENT_BY, ENT_DATE, ENT_BY_IP)</v>
      </c>
      <c r="Z181" s="12" t="str">
        <f>"VALUES('"&amp;B181&amp;"','ClaimDocs.aspx', 'USER', '01', '08', 'ABDUL', SYSDATE, '10.6.100.63');"</f>
        <v>VALUES('08801850','ClaimDocs.aspx', 'USER', '01', '08', 'ABDUL', SYSDATE, '10.6.100.63');</v>
      </c>
      <c r="AA181" s="12" t="str">
        <f t="shared" si="56"/>
        <v>INSERT INTO sy_perm_list (USER_CD, OPT_CD, ACCESS_TYPE, BRANCH_CODE, CLASS_CODE, ENT_BY, ENT_DATE, ENT_BY_IP)</v>
      </c>
      <c r="AB181" s="12" t="str">
        <f t="shared" si="72"/>
        <v>VALUES('08801850','Client.aspx', 'USER', '01', '08', 'ABDUL', SYSDATE, '10.6.100.63');</v>
      </c>
      <c r="AC181" s="12" t="str">
        <f t="shared" si="58"/>
        <v>INSERT INTO sy_perm_list (USER_CD, OPT_CD, ACCESS_TYPE, BRANCH_CODE, CLASS_CODE, ENT_BY, ENT_DATE, ENT_BY_IP)</v>
      </c>
      <c r="AD181" s="12" t="str">
        <f t="shared" si="73"/>
        <v>VALUES('08801850','ClientReports.aspx', 'USER', '01', '08', 'ABDUL', SYSDATE, '10.6.100.63');</v>
      </c>
      <c r="AE181" s="12" t="str">
        <f t="shared" si="60"/>
        <v>INSERT INTO sy_perm_list (USER_CD, OPT_CD, ACCESS_TYPE, BRANCH_CODE, CLASS_CODE, ENT_BY, ENT_DATE, ENT_BY_IP)</v>
      </c>
      <c r="AF181" s="12" t="str">
        <f t="shared" si="74"/>
        <v>VALUES('08801850','ClientRequests.aspx', 'USER', '01', '08', 'ABDUL', SYSDATE, '10.6.100.63');</v>
      </c>
      <c r="AG181" s="12" t="str">
        <f t="shared" si="62"/>
        <v>INSERT INTO sy_perm_list (USER_CD, OPT_CD, ACCESS_TYPE, BRANCH_CODE, CLASS_CODE, ENT_BY, ENT_DATE, ENT_BY_IP)</v>
      </c>
      <c r="AH181" s="12" t="str">
        <f t="shared" si="75"/>
        <v>VALUES('08801850','HealthLife.aspx', 'USER', '01', '08', 'ABDUL', SYSDATE, '10.6.100.63');</v>
      </c>
      <c r="AI181" s="12" t="str">
        <f t="shared" si="64"/>
        <v>INSERT INTO sy_perm_list (USER_CD, OPT_CD, ACCESS_TYPE, BRANCH_CODE, CLASS_CODE, ENT_BY, ENT_DATE, ENT_BY_IP)</v>
      </c>
      <c r="AJ181" s="12" t="str">
        <f t="shared" si="76"/>
        <v>VALUES('08801850','IpdClaim.aspx', 'USER', '01', '08', 'ABDUL', SYSDATE, '10.6.100.63');</v>
      </c>
      <c r="AK181" s="12" t="str">
        <f t="shared" si="66"/>
        <v>INSERT INTO sy_perm_list (USER_CD, OPT_CD, ACCESS_TYPE, BRANCH_CODE, CLASS_CODE, ENT_BY, ENT_DATE, ENT_BY_IP)</v>
      </c>
      <c r="AL181" s="12" t="str">
        <f t="shared" si="77"/>
        <v>VALUES('08801850','OpdClaim.aspx', 'USER', '01', '08', 'ABDUL', SYSDATE, '10.6.100.63');</v>
      </c>
      <c r="AM181" s="12" t="str">
        <f t="shared" si="68"/>
        <v>INSERT INTO sy_perm_list (USER_CD, OPT_CD, ACCESS_TYPE, BRANCH_CODE, CLASS_CODE, ENT_BY, ENT_DATE, ENT_BY_IP)</v>
      </c>
      <c r="AN181" s="12" t="str">
        <f t="shared" si="78"/>
        <v>VALUES('08801850','RequestDetails.aspx', 'USER', '01', '08', 'ABDUL', SYSDATE, '10.6.100.63');</v>
      </c>
      <c r="AO181" s="12" t="str">
        <f t="shared" si="70"/>
        <v>INSERT INTO sy_perm_list (USER_CD, OPT_CD, ACCESS_TYPE, BRANCH_CODE, CLASS_CODE, ENT_BY, ENT_DATE, ENT_BY_IP)</v>
      </c>
      <c r="AP181" s="12" t="str">
        <f t="shared" si="79"/>
        <v>VALUES('08801850','TodaysRequest.aspx', 'USER', '01', '08', 'ABDUL', SYSDATE, '10.6.100.63');</v>
      </c>
    </row>
    <row r="182" spans="1:42" s="6" customFormat="1" ht="77.25" x14ac:dyDescent="0.25">
      <c r="A182" s="4">
        <v>163</v>
      </c>
      <c r="B182" s="37" t="s">
        <v>848</v>
      </c>
      <c r="C182"/>
      <c r="D182"/>
      <c r="E182"/>
      <c r="F182" s="5" t="s">
        <v>287</v>
      </c>
      <c r="G182" s="6" t="s">
        <v>288</v>
      </c>
      <c r="H182"/>
      <c r="I182"/>
      <c r="J182" s="36" t="s">
        <v>849</v>
      </c>
      <c r="K182" s="6" t="s">
        <v>850</v>
      </c>
      <c r="L182"/>
      <c r="M182" t="s">
        <v>851</v>
      </c>
      <c r="N182"/>
      <c r="O182" s="38">
        <v>44287</v>
      </c>
      <c r="P182" s="38">
        <v>44651</v>
      </c>
      <c r="Q182"/>
      <c r="R182"/>
      <c r="S182" s="12" t="str">
        <f t="shared" ref="S182:S192" si="80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182" s="12" t="str">
        <f t="shared" ref="T182:T187" si="81">"VALUES('"&amp;B182&amp;"','"&amp;K182&amp;"','Salaam@123','Y','N',sysdate,'016', 'C', 'Client', '"&amp;M182&amp;"','01','B', '08', 'ABDUL', sysdate, '10.6.100.63', '"&amp;B182&amp;"');"</f>
        <v>VALUES('08801953','Soft Nation Technologies','Salaam@123','Y','N',sysdate,'016', 'C', 'Client', 'fahad@ormsystems.co.uk','01','B', '08', 'ABDUL', sysdate, '10.6.100.63', '08801953');</v>
      </c>
      <c r="U182" s="12" t="str">
        <f t="shared" si="50"/>
        <v>INSERT INTO sy_user_branches (USER_CD, BRANCH_CODE, CLASS_CODE, ENT_BY, ENT_DATE, ENT_BY_IP)</v>
      </c>
      <c r="V182" s="12" t="str">
        <f t="shared" ref="V182:V187" si="82">"values('"&amp;B182&amp;"','01', '08', 'ABDUL', sysdate, '10.6.100.63');"</f>
        <v>values('08801953','01', '08', 'ABDUL', sysdate, '10.6.100.63');</v>
      </c>
      <c r="W182" s="12" t="str">
        <f t="shared" si="52"/>
        <v>INSERT INTO sy_perm_list (USER_CD, OPT_CD, ACCESS_TYPE, BRANCH_CODE, CLASS_CODE, ENT_BY, ENT_DATE, ENT_BY_IP)</v>
      </c>
      <c r="X182" s="12" t="str">
        <f t="shared" ref="X182:X187" si="83">"VALUES('"&amp;B182&amp;"','ClaimComments.aspx', 'USER', '01', '08', 'ABDUL', SYSDATE, '10.6.100.63');"</f>
        <v>VALUES('08801953','ClaimComments.aspx', 'USER', '01', '08', 'ABDUL', SYSDATE, '10.6.100.63');</v>
      </c>
      <c r="Y182" s="12" t="str">
        <f t="shared" si="54"/>
        <v>INSERT INTO sy_perm_list (USER_CD, OPT_CD, ACCESS_TYPE, BRANCH_CODE, CLASS_CODE, ENT_BY, ENT_DATE, ENT_BY_IP)</v>
      </c>
      <c r="Z182" s="12" t="str">
        <f t="shared" ref="Z182:Z187" si="84">"VALUES('"&amp;B182&amp;"','ClaimDocs.aspx', 'USER', '01', '08', 'ABDUL', SYSDATE, '10.6.100.63');"</f>
        <v>VALUES('08801953','ClaimDocs.aspx', 'USER', '01', '08', 'ABDUL', SYSDATE, '10.6.100.63');</v>
      </c>
      <c r="AA182" s="12" t="str">
        <f t="shared" si="56"/>
        <v>INSERT INTO sy_perm_list (USER_CD, OPT_CD, ACCESS_TYPE, BRANCH_CODE, CLASS_CODE, ENT_BY, ENT_DATE, ENT_BY_IP)</v>
      </c>
      <c r="AB182" s="12" t="str">
        <f t="shared" si="72"/>
        <v>VALUES('08801953','Client.aspx', 'USER', '01', '08', 'ABDUL', SYSDATE, '10.6.100.63');</v>
      </c>
      <c r="AC182" s="12" t="str">
        <f t="shared" si="58"/>
        <v>INSERT INTO sy_perm_list (USER_CD, OPT_CD, ACCESS_TYPE, BRANCH_CODE, CLASS_CODE, ENT_BY, ENT_DATE, ENT_BY_IP)</v>
      </c>
      <c r="AD182" s="12" t="str">
        <f t="shared" si="73"/>
        <v>VALUES('08801953','ClientReports.aspx', 'USER', '01', '08', 'ABDUL', SYSDATE, '10.6.100.63');</v>
      </c>
      <c r="AE182" s="12" t="str">
        <f t="shared" si="60"/>
        <v>INSERT INTO sy_perm_list (USER_CD, OPT_CD, ACCESS_TYPE, BRANCH_CODE, CLASS_CODE, ENT_BY, ENT_DATE, ENT_BY_IP)</v>
      </c>
      <c r="AF182" s="12" t="str">
        <f t="shared" si="74"/>
        <v>VALUES('08801953','ClientRequests.aspx', 'USER', '01', '08', 'ABDUL', SYSDATE, '10.6.100.63');</v>
      </c>
      <c r="AG182" s="12" t="str">
        <f t="shared" si="62"/>
        <v>INSERT INTO sy_perm_list (USER_CD, OPT_CD, ACCESS_TYPE, BRANCH_CODE, CLASS_CODE, ENT_BY, ENT_DATE, ENT_BY_IP)</v>
      </c>
      <c r="AH182" s="12" t="str">
        <f t="shared" si="75"/>
        <v>VALUES('08801953','HealthLife.aspx', 'USER', '01', '08', 'ABDUL', SYSDATE, '10.6.100.63');</v>
      </c>
      <c r="AI182" s="12" t="str">
        <f t="shared" si="64"/>
        <v>INSERT INTO sy_perm_list (USER_CD, OPT_CD, ACCESS_TYPE, BRANCH_CODE, CLASS_CODE, ENT_BY, ENT_DATE, ENT_BY_IP)</v>
      </c>
      <c r="AJ182" s="12" t="str">
        <f t="shared" si="76"/>
        <v>VALUES('08801953','IpdClaim.aspx', 'USER', '01', '08', 'ABDUL', SYSDATE, '10.6.100.63');</v>
      </c>
      <c r="AK182" s="12" t="str">
        <f t="shared" si="66"/>
        <v>INSERT INTO sy_perm_list (USER_CD, OPT_CD, ACCESS_TYPE, BRANCH_CODE, CLASS_CODE, ENT_BY, ENT_DATE, ENT_BY_IP)</v>
      </c>
      <c r="AL182" s="12" t="str">
        <f t="shared" si="77"/>
        <v>VALUES('08801953','OpdClaim.aspx', 'USER', '01', '08', 'ABDUL', SYSDATE, '10.6.100.63');</v>
      </c>
      <c r="AM182" s="12" t="str">
        <f t="shared" si="68"/>
        <v>INSERT INTO sy_perm_list (USER_CD, OPT_CD, ACCESS_TYPE, BRANCH_CODE, CLASS_CODE, ENT_BY, ENT_DATE, ENT_BY_IP)</v>
      </c>
      <c r="AN182" s="12" t="str">
        <f t="shared" si="78"/>
        <v>VALUES('08801953','RequestDetails.aspx', 'USER', '01', '08', 'ABDUL', SYSDATE, '10.6.100.63');</v>
      </c>
      <c r="AO182" s="12" t="str">
        <f t="shared" si="70"/>
        <v>INSERT INTO sy_perm_list (USER_CD, OPT_CD, ACCESS_TYPE, BRANCH_CODE, CLASS_CODE, ENT_BY, ENT_DATE, ENT_BY_IP)</v>
      </c>
      <c r="AP182" s="12" t="str">
        <f t="shared" si="79"/>
        <v>VALUES('08801953','TodaysRequest.aspx', 'USER', '01', '08', 'ABDUL', SYSDATE, '10.6.100.63');</v>
      </c>
    </row>
    <row r="183" spans="1:42" s="6" customFormat="1" ht="77.25" x14ac:dyDescent="0.25">
      <c r="A183" s="4">
        <v>164</v>
      </c>
      <c r="B183" s="37" t="s">
        <v>852</v>
      </c>
      <c r="C183"/>
      <c r="D183"/>
      <c r="E183"/>
      <c r="F183" s="5" t="s">
        <v>287</v>
      </c>
      <c r="G183" s="6" t="s">
        <v>288</v>
      </c>
      <c r="H183"/>
      <c r="I183"/>
      <c r="J183" s="36" t="s">
        <v>854</v>
      </c>
      <c r="K183" s="6" t="s">
        <v>853</v>
      </c>
      <c r="L183" s="6" t="s">
        <v>855</v>
      </c>
      <c r="M183" t="s">
        <v>856</v>
      </c>
      <c r="N183"/>
      <c r="O183"/>
      <c r="P183"/>
      <c r="Q183"/>
      <c r="R183"/>
      <c r="S183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3" s="12" t="str">
        <f t="shared" si="81"/>
        <v>VALUES('08801891','D Team','Salaam@123','Y','N',sysdate,'016', 'C', 'Client', 'javeria@digitalgravity.ae','01','B', '08', 'ABDUL', sysdate, '10.6.100.63', '08801891');</v>
      </c>
      <c r="U183" s="12" t="str">
        <f t="shared" si="50"/>
        <v>INSERT INTO sy_user_branches (USER_CD, BRANCH_CODE, CLASS_CODE, ENT_BY, ENT_DATE, ENT_BY_IP)</v>
      </c>
      <c r="V183" s="12" t="str">
        <f t="shared" si="82"/>
        <v>values('08801891','01', '08', 'ABDUL', sysdate, '10.6.100.63');</v>
      </c>
      <c r="W183" s="12" t="str">
        <f t="shared" si="52"/>
        <v>INSERT INTO sy_perm_list (USER_CD, OPT_CD, ACCESS_TYPE, BRANCH_CODE, CLASS_CODE, ENT_BY, ENT_DATE, ENT_BY_IP)</v>
      </c>
      <c r="X183" s="12" t="str">
        <f t="shared" si="83"/>
        <v>VALUES('08801891','ClaimComments.aspx', 'USER', '01', '08', 'ABDUL', SYSDATE, '10.6.100.63');</v>
      </c>
      <c r="Y183" s="12" t="str">
        <f t="shared" si="54"/>
        <v>INSERT INTO sy_perm_list (USER_CD, OPT_CD, ACCESS_TYPE, BRANCH_CODE, CLASS_CODE, ENT_BY, ENT_DATE, ENT_BY_IP)</v>
      </c>
      <c r="Z183" s="12" t="str">
        <f t="shared" si="84"/>
        <v>VALUES('08801891','ClaimDocs.aspx', 'USER', '01', '08', 'ABDUL', SYSDATE, '10.6.100.63');</v>
      </c>
      <c r="AA183" s="12" t="str">
        <f t="shared" si="56"/>
        <v>INSERT INTO sy_perm_list (USER_CD, OPT_CD, ACCESS_TYPE, BRANCH_CODE, CLASS_CODE, ENT_BY, ENT_DATE, ENT_BY_IP)</v>
      </c>
      <c r="AB183" s="12" t="str">
        <f t="shared" ref="AB183:AB188" si="85">"VALUES('"&amp;B183&amp;"','Client.aspx', 'USER', '01', '08', 'ABDUL', SYSDATE, '10.6.100.63');"</f>
        <v>VALUES('08801891','Client.aspx', 'USER', '01', '08', 'ABDUL', SYSDATE, '10.6.100.63');</v>
      </c>
      <c r="AC183" s="12" t="str">
        <f t="shared" si="58"/>
        <v>INSERT INTO sy_perm_list (USER_CD, OPT_CD, ACCESS_TYPE, BRANCH_CODE, CLASS_CODE, ENT_BY, ENT_DATE, ENT_BY_IP)</v>
      </c>
      <c r="AD183" s="12" t="str">
        <f t="shared" ref="AD183:AD188" si="86">"VALUES('"&amp;B183&amp;"','ClientReports.aspx', 'USER', '01', '08', 'ABDUL', SYSDATE, '10.6.100.63');"</f>
        <v>VALUES('08801891','ClientReports.aspx', 'USER', '01', '08', 'ABDUL', SYSDATE, '10.6.100.63');</v>
      </c>
      <c r="AE183" s="12" t="str">
        <f t="shared" si="60"/>
        <v>INSERT INTO sy_perm_list (USER_CD, OPT_CD, ACCESS_TYPE, BRANCH_CODE, CLASS_CODE, ENT_BY, ENT_DATE, ENT_BY_IP)</v>
      </c>
      <c r="AF183" s="12" t="str">
        <f t="shared" ref="AF183:AF188" si="87">"VALUES('"&amp;B183&amp;"','ClientRequests.aspx', 'USER', '01', '08', 'ABDUL', SYSDATE, '10.6.100.63');"</f>
        <v>VALUES('08801891','ClientRequests.aspx', 'USER', '01', '08', 'ABDUL', SYSDATE, '10.6.100.63');</v>
      </c>
      <c r="AG183" s="12" t="str">
        <f t="shared" si="62"/>
        <v>INSERT INTO sy_perm_list (USER_CD, OPT_CD, ACCESS_TYPE, BRANCH_CODE, CLASS_CODE, ENT_BY, ENT_DATE, ENT_BY_IP)</v>
      </c>
      <c r="AH183" s="12" t="str">
        <f t="shared" ref="AH183:AH188" si="88">"VALUES('"&amp;B183&amp;"','HealthLife.aspx', 'USER', '01', '08', 'ABDUL', SYSDATE, '10.6.100.63');"</f>
        <v>VALUES('08801891','HealthLife.aspx', 'USER', '01', '08', 'ABDUL', SYSDATE, '10.6.100.63');</v>
      </c>
      <c r="AI183" s="12" t="str">
        <f t="shared" si="64"/>
        <v>INSERT INTO sy_perm_list (USER_CD, OPT_CD, ACCESS_TYPE, BRANCH_CODE, CLASS_CODE, ENT_BY, ENT_DATE, ENT_BY_IP)</v>
      </c>
      <c r="AJ183" s="12" t="str">
        <f t="shared" si="76"/>
        <v>VALUES('08801891','IpdClaim.aspx', 'USER', '01', '08', 'ABDUL', SYSDATE, '10.6.100.63');</v>
      </c>
      <c r="AK183" s="12" t="str">
        <f t="shared" si="66"/>
        <v>INSERT INTO sy_perm_list (USER_CD, OPT_CD, ACCESS_TYPE, BRANCH_CODE, CLASS_CODE, ENT_BY, ENT_DATE, ENT_BY_IP)</v>
      </c>
      <c r="AL183" s="12" t="str">
        <f t="shared" si="77"/>
        <v>VALUES('08801891','OpdClaim.aspx', 'USER', '01', '08', 'ABDUL', SYSDATE, '10.6.100.63');</v>
      </c>
      <c r="AM183" s="12" t="str">
        <f t="shared" si="68"/>
        <v>INSERT INTO sy_perm_list (USER_CD, OPT_CD, ACCESS_TYPE, BRANCH_CODE, CLASS_CODE, ENT_BY, ENT_DATE, ENT_BY_IP)</v>
      </c>
      <c r="AN183" s="12" t="str">
        <f t="shared" si="78"/>
        <v>VALUES('08801891','RequestDetails.aspx', 'USER', '01', '08', 'ABDUL', SYSDATE, '10.6.100.63');</v>
      </c>
      <c r="AO183" s="12" t="str">
        <f t="shared" si="70"/>
        <v>INSERT INTO sy_perm_list (USER_CD, OPT_CD, ACCESS_TYPE, BRANCH_CODE, CLASS_CODE, ENT_BY, ENT_DATE, ENT_BY_IP)</v>
      </c>
      <c r="AP183" s="12" t="str">
        <f t="shared" si="79"/>
        <v>VALUES('08801891','TodaysRequest.aspx', 'USER', '01', '08', 'ABDUL', SYSDATE, '10.6.100.63');</v>
      </c>
    </row>
    <row r="184" spans="1:42" s="6" customFormat="1" ht="77.25" x14ac:dyDescent="0.25">
      <c r="A184" s="4">
        <v>165</v>
      </c>
      <c r="B184" s="37" t="s">
        <v>857</v>
      </c>
      <c r="C184"/>
      <c r="D184"/>
      <c r="E184"/>
      <c r="F184" s="5" t="s">
        <v>287</v>
      </c>
      <c r="G184" s="6" t="s">
        <v>288</v>
      </c>
      <c r="H184"/>
      <c r="I184"/>
      <c r="J184" s="36" t="s">
        <v>858</v>
      </c>
      <c r="K184" s="6" t="s">
        <v>859</v>
      </c>
      <c r="L184" s="6" t="s">
        <v>861</v>
      </c>
      <c r="M184" t="s">
        <v>860</v>
      </c>
      <c r="N184"/>
      <c r="O184"/>
      <c r="P184"/>
      <c r="Q184"/>
      <c r="R184"/>
      <c r="S184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4" s="12" t="str">
        <f t="shared" si="81"/>
        <v>VALUES('08801964','Kualitatem (Private) Limited','Salaam@123','Y','N',sysdate,'016', 'C', 'Client', 'khurram.sarwar@virtualforce.io','01','B', '08', 'ABDUL', sysdate, '10.6.100.63', '08801964');</v>
      </c>
      <c r="U184" s="12" t="str">
        <f t="shared" si="50"/>
        <v>INSERT INTO sy_user_branches (USER_CD, BRANCH_CODE, CLASS_CODE, ENT_BY, ENT_DATE, ENT_BY_IP)</v>
      </c>
      <c r="V184" s="12" t="str">
        <f t="shared" si="82"/>
        <v>values('08801964','01', '08', 'ABDUL', sysdate, '10.6.100.63');</v>
      </c>
      <c r="W184" s="12" t="str">
        <f t="shared" si="52"/>
        <v>INSERT INTO sy_perm_list (USER_CD, OPT_CD, ACCESS_TYPE, BRANCH_CODE, CLASS_CODE, ENT_BY, ENT_DATE, ENT_BY_IP)</v>
      </c>
      <c r="X184" s="12" t="str">
        <f t="shared" si="83"/>
        <v>VALUES('08801964','ClaimComments.aspx', 'USER', '01', '08', 'ABDUL', SYSDATE, '10.6.100.63');</v>
      </c>
      <c r="Y184" s="12" t="str">
        <f t="shared" si="54"/>
        <v>INSERT INTO sy_perm_list (USER_CD, OPT_CD, ACCESS_TYPE, BRANCH_CODE, CLASS_CODE, ENT_BY, ENT_DATE, ENT_BY_IP)</v>
      </c>
      <c r="Z184" s="12" t="str">
        <f t="shared" si="84"/>
        <v>VALUES('08801964','ClaimDocs.aspx', 'USER', '01', '08', 'ABDUL', SYSDATE, '10.6.100.63');</v>
      </c>
      <c r="AA184" s="12" t="str">
        <f t="shared" si="56"/>
        <v>INSERT INTO sy_perm_list (USER_CD, OPT_CD, ACCESS_TYPE, BRANCH_CODE, CLASS_CODE, ENT_BY, ENT_DATE, ENT_BY_IP)</v>
      </c>
      <c r="AB184" s="12" t="str">
        <f t="shared" si="85"/>
        <v>VALUES('08801964','Client.aspx', 'USER', '01', '08', 'ABDUL', SYSDATE, '10.6.100.63');</v>
      </c>
      <c r="AC184" s="12" t="str">
        <f t="shared" si="58"/>
        <v>INSERT INTO sy_perm_list (USER_CD, OPT_CD, ACCESS_TYPE, BRANCH_CODE, CLASS_CODE, ENT_BY, ENT_DATE, ENT_BY_IP)</v>
      </c>
      <c r="AD184" s="12" t="str">
        <f t="shared" si="86"/>
        <v>VALUES('08801964','ClientReports.aspx', 'USER', '01', '08', 'ABDUL', SYSDATE, '10.6.100.63');</v>
      </c>
      <c r="AE184" s="12" t="str">
        <f t="shared" si="60"/>
        <v>INSERT INTO sy_perm_list (USER_CD, OPT_CD, ACCESS_TYPE, BRANCH_CODE, CLASS_CODE, ENT_BY, ENT_DATE, ENT_BY_IP)</v>
      </c>
      <c r="AF184" s="12" t="str">
        <f t="shared" si="87"/>
        <v>VALUES('08801964','ClientRequests.aspx', 'USER', '01', '08', 'ABDUL', SYSDATE, '10.6.100.63');</v>
      </c>
      <c r="AG184" s="12" t="str">
        <f t="shared" si="62"/>
        <v>INSERT INTO sy_perm_list (USER_CD, OPT_CD, ACCESS_TYPE, BRANCH_CODE, CLASS_CODE, ENT_BY, ENT_DATE, ENT_BY_IP)</v>
      </c>
      <c r="AH184" s="12" t="str">
        <f t="shared" si="88"/>
        <v>VALUES('08801964','HealthLife.aspx', 'USER', '01', '08', 'ABDUL', SYSDATE, '10.6.100.63');</v>
      </c>
      <c r="AI184" s="12" t="str">
        <f t="shared" si="64"/>
        <v>INSERT INTO sy_perm_list (USER_CD, OPT_CD, ACCESS_TYPE, BRANCH_CODE, CLASS_CODE, ENT_BY, ENT_DATE, ENT_BY_IP)</v>
      </c>
      <c r="AJ184" s="12" t="str">
        <f t="shared" si="76"/>
        <v>VALUES('08801964','IpdClaim.aspx', 'USER', '01', '08', 'ABDUL', SYSDATE, '10.6.100.63');</v>
      </c>
      <c r="AK184" s="12" t="str">
        <f t="shared" si="66"/>
        <v>INSERT INTO sy_perm_list (USER_CD, OPT_CD, ACCESS_TYPE, BRANCH_CODE, CLASS_CODE, ENT_BY, ENT_DATE, ENT_BY_IP)</v>
      </c>
      <c r="AL184" s="12" t="str">
        <f t="shared" si="77"/>
        <v>VALUES('08801964','OpdClaim.aspx', 'USER', '01', '08', 'ABDUL', SYSDATE, '10.6.100.63');</v>
      </c>
      <c r="AM184" s="12" t="str">
        <f t="shared" si="68"/>
        <v>INSERT INTO sy_perm_list (USER_CD, OPT_CD, ACCESS_TYPE, BRANCH_CODE, CLASS_CODE, ENT_BY, ENT_DATE, ENT_BY_IP)</v>
      </c>
      <c r="AN184" s="12" t="str">
        <f t="shared" si="78"/>
        <v>VALUES('08801964','RequestDetails.aspx', 'USER', '01', '08', 'ABDUL', SYSDATE, '10.6.100.63');</v>
      </c>
      <c r="AO184" s="12" t="str">
        <f t="shared" si="70"/>
        <v>INSERT INTO sy_perm_list (USER_CD, OPT_CD, ACCESS_TYPE, BRANCH_CODE, CLASS_CODE, ENT_BY, ENT_DATE, ENT_BY_IP)</v>
      </c>
      <c r="AP184" s="12" t="str">
        <f t="shared" si="79"/>
        <v>VALUES('08801964','TodaysRequest.aspx', 'USER', '01', '08', 'ABDUL', SYSDATE, '10.6.100.63');</v>
      </c>
    </row>
    <row r="185" spans="1:42" s="6" customFormat="1" ht="77.25" x14ac:dyDescent="0.25">
      <c r="A185" s="4">
        <v>166</v>
      </c>
      <c r="B185" s="37" t="s">
        <v>863</v>
      </c>
      <c r="C185"/>
      <c r="D185"/>
      <c r="E185"/>
      <c r="F185" s="5" t="s">
        <v>287</v>
      </c>
      <c r="G185" s="6" t="s">
        <v>288</v>
      </c>
      <c r="H185"/>
      <c r="I185"/>
      <c r="J185" s="36" t="s">
        <v>862</v>
      </c>
      <c r="K185" t="s">
        <v>864</v>
      </c>
      <c r="L185" t="s">
        <v>865</v>
      </c>
      <c r="M185" s="11" t="s">
        <v>866</v>
      </c>
      <c r="N185"/>
      <c r="O185"/>
      <c r="P185"/>
      <c r="Q185"/>
      <c r="R185"/>
      <c r="S185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5" s="12" t="str">
        <f t="shared" si="81"/>
        <v>VALUES('08800738','NEXTBRIDGE (PRIVATE) LIMITED','Salaam@123','Y','N',sysdate,'016', 'C', 'Client', 'hr@nxb.com.pk','01','B', '08', 'ABDUL', sysdate, '10.6.100.63', '08800738');</v>
      </c>
      <c r="U185" s="12" t="str">
        <f t="shared" si="50"/>
        <v>INSERT INTO sy_user_branches (USER_CD, BRANCH_CODE, CLASS_CODE, ENT_BY, ENT_DATE, ENT_BY_IP)</v>
      </c>
      <c r="V185" s="12" t="str">
        <f t="shared" si="82"/>
        <v>values('08800738','01', '08', 'ABDUL', sysdate, '10.6.100.63');</v>
      </c>
      <c r="W185" s="12" t="str">
        <f t="shared" si="52"/>
        <v>INSERT INTO sy_perm_list (USER_CD, OPT_CD, ACCESS_TYPE, BRANCH_CODE, CLASS_CODE, ENT_BY, ENT_DATE, ENT_BY_IP)</v>
      </c>
      <c r="X185" s="12" t="str">
        <f t="shared" si="83"/>
        <v>VALUES('08800738','ClaimComments.aspx', 'USER', '01', '08', 'ABDUL', SYSDATE, '10.6.100.63');</v>
      </c>
      <c r="Y185" s="12" t="str">
        <f t="shared" si="54"/>
        <v>INSERT INTO sy_perm_list (USER_CD, OPT_CD, ACCESS_TYPE, BRANCH_CODE, CLASS_CODE, ENT_BY, ENT_DATE, ENT_BY_IP)</v>
      </c>
      <c r="Z185" s="12" t="str">
        <f t="shared" si="84"/>
        <v>VALUES('08800738','ClaimDocs.aspx', 'USER', '01', '08', 'ABDUL', SYSDATE, '10.6.100.63');</v>
      </c>
      <c r="AA185" s="12" t="str">
        <f t="shared" si="56"/>
        <v>INSERT INTO sy_perm_list (USER_CD, OPT_CD, ACCESS_TYPE, BRANCH_CODE, CLASS_CODE, ENT_BY, ENT_DATE, ENT_BY_IP)</v>
      </c>
      <c r="AB185" s="12" t="str">
        <f t="shared" si="85"/>
        <v>VALUES('08800738','Client.aspx', 'USER', '01', '08', 'ABDUL', SYSDATE, '10.6.100.63');</v>
      </c>
      <c r="AC185" s="12" t="str">
        <f t="shared" si="58"/>
        <v>INSERT INTO sy_perm_list (USER_CD, OPT_CD, ACCESS_TYPE, BRANCH_CODE, CLASS_CODE, ENT_BY, ENT_DATE, ENT_BY_IP)</v>
      </c>
      <c r="AD185" s="12" t="str">
        <f t="shared" si="86"/>
        <v>VALUES('08800738','ClientReports.aspx', 'USER', '01', '08', 'ABDUL', SYSDATE, '10.6.100.63');</v>
      </c>
      <c r="AE185" s="12" t="str">
        <f t="shared" si="60"/>
        <v>INSERT INTO sy_perm_list (USER_CD, OPT_CD, ACCESS_TYPE, BRANCH_CODE, CLASS_CODE, ENT_BY, ENT_DATE, ENT_BY_IP)</v>
      </c>
      <c r="AF185" s="12" t="str">
        <f t="shared" si="87"/>
        <v>VALUES('08800738','ClientRequests.aspx', 'USER', '01', '08', 'ABDUL', SYSDATE, '10.6.100.63');</v>
      </c>
      <c r="AG185" s="12" t="str">
        <f t="shared" si="62"/>
        <v>INSERT INTO sy_perm_list (USER_CD, OPT_CD, ACCESS_TYPE, BRANCH_CODE, CLASS_CODE, ENT_BY, ENT_DATE, ENT_BY_IP)</v>
      </c>
      <c r="AH185" s="12" t="str">
        <f t="shared" si="88"/>
        <v>VALUES('08800738','HealthLife.aspx', 'USER', '01', '08', 'ABDUL', SYSDATE, '10.6.100.63');</v>
      </c>
      <c r="AI185" s="12" t="str">
        <f t="shared" si="64"/>
        <v>INSERT INTO sy_perm_list (USER_CD, OPT_CD, ACCESS_TYPE, BRANCH_CODE, CLASS_CODE, ENT_BY, ENT_DATE, ENT_BY_IP)</v>
      </c>
      <c r="AJ185" s="12" t="str">
        <f t="shared" si="76"/>
        <v>VALUES('08800738','IpdClaim.aspx', 'USER', '01', '08', 'ABDUL', SYSDATE, '10.6.100.63');</v>
      </c>
      <c r="AK185" s="12" t="str">
        <f t="shared" si="66"/>
        <v>INSERT INTO sy_perm_list (USER_CD, OPT_CD, ACCESS_TYPE, BRANCH_CODE, CLASS_CODE, ENT_BY, ENT_DATE, ENT_BY_IP)</v>
      </c>
      <c r="AL185" s="12" t="str">
        <f t="shared" si="77"/>
        <v>VALUES('08800738','OpdClaim.aspx', 'USER', '01', '08', 'ABDUL', SYSDATE, '10.6.100.63');</v>
      </c>
      <c r="AM185" s="12" t="str">
        <f t="shared" si="68"/>
        <v>INSERT INTO sy_perm_list (USER_CD, OPT_CD, ACCESS_TYPE, BRANCH_CODE, CLASS_CODE, ENT_BY, ENT_DATE, ENT_BY_IP)</v>
      </c>
      <c r="AN185" s="12" t="str">
        <f t="shared" si="78"/>
        <v>VALUES('08800738','RequestDetails.aspx', 'USER', '01', '08', 'ABDUL', SYSDATE, '10.6.100.63');</v>
      </c>
      <c r="AO185" s="12" t="str">
        <f t="shared" si="70"/>
        <v>INSERT INTO sy_perm_list (USER_CD, OPT_CD, ACCESS_TYPE, BRANCH_CODE, CLASS_CODE, ENT_BY, ENT_DATE, ENT_BY_IP)</v>
      </c>
      <c r="AP185" s="12" t="str">
        <f t="shared" si="79"/>
        <v>VALUES('08800738','TodaysRequest.aspx', 'USER', '01', '08', 'ABDUL', SYSDATE, '10.6.100.63');</v>
      </c>
    </row>
    <row r="186" spans="1:42" s="6" customFormat="1" ht="77.25" x14ac:dyDescent="0.25">
      <c r="A186" s="4">
        <v>167</v>
      </c>
      <c r="B186" s="37" t="s">
        <v>867</v>
      </c>
      <c r="C186"/>
      <c r="D186"/>
      <c r="E186"/>
      <c r="F186" s="5" t="s">
        <v>287</v>
      </c>
      <c r="G186" s="6" t="s">
        <v>288</v>
      </c>
      <c r="H186"/>
      <c r="I186"/>
      <c r="J186" s="39" t="s">
        <v>868</v>
      </c>
      <c r="K186" s="39" t="s">
        <v>869</v>
      </c>
      <c r="L186" s="39" t="s">
        <v>870</v>
      </c>
      <c r="M186" s="11" t="s">
        <v>871</v>
      </c>
      <c r="N186"/>
      <c r="O186"/>
      <c r="P186"/>
      <c r="Q186"/>
      <c r="R186"/>
      <c r="S186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6" s="12" t="str">
        <f t="shared" si="81"/>
        <v>VALUES('08801961','Zishan Engineers (Private) Limited','Salaam@123','Y','N',sysdate,'016', 'C', 'Client', 'accounts-1@zishanengineers.com','01','B', '08', 'ABDUL', sysdate, '10.6.100.63', '08801961');</v>
      </c>
      <c r="U186" s="12" t="str">
        <f t="shared" ref="U186:U236" si="89">"INSERT INTO sy_user_branches (USER_CD, BRANCH_CODE, CLASS_CODE, ENT_BY, ENT_DATE, ENT_BY_IP)"</f>
        <v>INSERT INTO sy_user_branches (USER_CD, BRANCH_CODE, CLASS_CODE, ENT_BY, ENT_DATE, ENT_BY_IP)</v>
      </c>
      <c r="V186" s="12" t="str">
        <f t="shared" si="82"/>
        <v>values('08801961','01', '08', 'ABDUL', sysdate, '10.6.100.63');</v>
      </c>
      <c r="W186" s="12" t="str">
        <f t="shared" si="52"/>
        <v>INSERT INTO sy_perm_list (USER_CD, OPT_CD, ACCESS_TYPE, BRANCH_CODE, CLASS_CODE, ENT_BY, ENT_DATE, ENT_BY_IP)</v>
      </c>
      <c r="X186" s="12" t="str">
        <f t="shared" si="83"/>
        <v>VALUES('08801961','ClaimComments.aspx', 'USER', '01', '08', 'ABDUL', SYSDATE, '10.6.100.63');</v>
      </c>
      <c r="Y186" s="12" t="str">
        <f t="shared" si="54"/>
        <v>INSERT INTO sy_perm_list (USER_CD, OPT_CD, ACCESS_TYPE, BRANCH_CODE, CLASS_CODE, ENT_BY, ENT_DATE, ENT_BY_IP)</v>
      </c>
      <c r="Z186" s="12" t="str">
        <f t="shared" si="84"/>
        <v>VALUES('08801961','ClaimDocs.aspx', 'USER', '01', '08', 'ABDUL', SYSDATE, '10.6.100.63');</v>
      </c>
      <c r="AA186" s="12" t="str">
        <f t="shared" si="56"/>
        <v>INSERT INTO sy_perm_list (USER_CD, OPT_CD, ACCESS_TYPE, BRANCH_CODE, CLASS_CODE, ENT_BY, ENT_DATE, ENT_BY_IP)</v>
      </c>
      <c r="AB186" s="12" t="str">
        <f t="shared" si="85"/>
        <v>VALUES('08801961','Client.aspx', 'USER', '01', '08', 'ABDUL', SYSDATE, '10.6.100.63');</v>
      </c>
      <c r="AC186" s="12" t="str">
        <f t="shared" si="58"/>
        <v>INSERT INTO sy_perm_list (USER_CD, OPT_CD, ACCESS_TYPE, BRANCH_CODE, CLASS_CODE, ENT_BY, ENT_DATE, ENT_BY_IP)</v>
      </c>
      <c r="AD186" s="12" t="str">
        <f t="shared" si="86"/>
        <v>VALUES('08801961','ClientReports.aspx', 'USER', '01', '08', 'ABDUL', SYSDATE, '10.6.100.63');</v>
      </c>
      <c r="AE186" s="12" t="str">
        <f t="shared" si="60"/>
        <v>INSERT INTO sy_perm_list (USER_CD, OPT_CD, ACCESS_TYPE, BRANCH_CODE, CLASS_CODE, ENT_BY, ENT_DATE, ENT_BY_IP)</v>
      </c>
      <c r="AF186" s="12" t="str">
        <f t="shared" si="87"/>
        <v>VALUES('08801961','ClientRequests.aspx', 'USER', '01', '08', 'ABDUL', SYSDATE, '10.6.100.63');</v>
      </c>
      <c r="AG186" s="12" t="str">
        <f t="shared" si="62"/>
        <v>INSERT INTO sy_perm_list (USER_CD, OPT_CD, ACCESS_TYPE, BRANCH_CODE, CLASS_CODE, ENT_BY, ENT_DATE, ENT_BY_IP)</v>
      </c>
      <c r="AH186" s="12" t="str">
        <f t="shared" si="88"/>
        <v>VALUES('08801961','HealthLife.aspx', 'USER', '01', '08', 'ABDUL', SYSDATE, '10.6.100.63');</v>
      </c>
      <c r="AI186" s="12" t="str">
        <f t="shared" si="64"/>
        <v>INSERT INTO sy_perm_list (USER_CD, OPT_CD, ACCESS_TYPE, BRANCH_CODE, CLASS_CODE, ENT_BY, ENT_DATE, ENT_BY_IP)</v>
      </c>
      <c r="AJ186" s="12" t="str">
        <f t="shared" si="76"/>
        <v>VALUES('08801961','IpdClaim.aspx', 'USER', '01', '08', 'ABDUL', SYSDATE, '10.6.100.63');</v>
      </c>
      <c r="AK186" s="12" t="str">
        <f t="shared" si="66"/>
        <v>INSERT INTO sy_perm_list (USER_CD, OPT_CD, ACCESS_TYPE, BRANCH_CODE, CLASS_CODE, ENT_BY, ENT_DATE, ENT_BY_IP)</v>
      </c>
      <c r="AL186" s="12" t="str">
        <f t="shared" si="77"/>
        <v>VALUES('08801961','OpdClaim.aspx', 'USER', '01', '08', 'ABDUL', SYSDATE, '10.6.100.63');</v>
      </c>
      <c r="AM186" s="12" t="str">
        <f t="shared" si="68"/>
        <v>INSERT INTO sy_perm_list (USER_CD, OPT_CD, ACCESS_TYPE, BRANCH_CODE, CLASS_CODE, ENT_BY, ENT_DATE, ENT_BY_IP)</v>
      </c>
      <c r="AN186" s="12" t="str">
        <f t="shared" si="78"/>
        <v>VALUES('08801961','RequestDetails.aspx', 'USER', '01', '08', 'ABDUL', SYSDATE, '10.6.100.63');</v>
      </c>
      <c r="AO186" s="12" t="str">
        <f t="shared" si="70"/>
        <v>INSERT INTO sy_perm_list (USER_CD, OPT_CD, ACCESS_TYPE, BRANCH_CODE, CLASS_CODE, ENT_BY, ENT_DATE, ENT_BY_IP)</v>
      </c>
      <c r="AP186" s="12" t="str">
        <f t="shared" si="79"/>
        <v>VALUES('08801961','TodaysRequest.aspx', 'USER', '01', '08', 'ABDUL', SYSDATE, '10.6.100.63');</v>
      </c>
    </row>
    <row r="187" spans="1:42" s="6" customFormat="1" ht="77.25" thickBot="1" x14ac:dyDescent="0.25">
      <c r="A187" s="4">
        <v>168</v>
      </c>
      <c r="B187" s="41" t="s">
        <v>872</v>
      </c>
      <c r="C187"/>
      <c r="D187"/>
      <c r="E187"/>
      <c r="F187" s="5" t="s">
        <v>287</v>
      </c>
      <c r="G187" s="6" t="s">
        <v>288</v>
      </c>
      <c r="H187"/>
      <c r="I187"/>
      <c r="J187" s="39" t="s">
        <v>873</v>
      </c>
      <c r="K187" s="39" t="s">
        <v>45</v>
      </c>
      <c r="L187" s="40" t="s">
        <v>46</v>
      </c>
      <c r="M187" s="42" t="s">
        <v>101</v>
      </c>
      <c r="N187"/>
      <c r="O187"/>
      <c r="P187"/>
      <c r="Q187"/>
      <c r="R187"/>
      <c r="S187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7" s="12" t="str">
        <f t="shared" si="81"/>
        <v>VALUES('08801296','STUDIO Q','Salaam@123','Y','N',sysdate,'016', 'C', 'Client', 'saadpirzada@studio-q.co','01','B', '08', 'ABDUL', sysdate, '10.6.100.63', '08801296');</v>
      </c>
      <c r="U187" s="12" t="str">
        <f t="shared" si="89"/>
        <v>INSERT INTO sy_user_branches (USER_CD, BRANCH_CODE, CLASS_CODE, ENT_BY, ENT_DATE, ENT_BY_IP)</v>
      </c>
      <c r="V187" s="12" t="str">
        <f t="shared" si="82"/>
        <v>values('08801296','01', '08', 'ABDUL', sysdate, '10.6.100.63');</v>
      </c>
      <c r="W187" s="12" t="str">
        <f t="shared" si="52"/>
        <v>INSERT INTO sy_perm_list (USER_CD, OPT_CD, ACCESS_TYPE, BRANCH_CODE, CLASS_CODE, ENT_BY, ENT_DATE, ENT_BY_IP)</v>
      </c>
      <c r="X187" s="12" t="str">
        <f t="shared" si="83"/>
        <v>VALUES('08801296','ClaimComments.aspx', 'USER', '01', '08', 'ABDUL', SYSDATE, '10.6.100.63');</v>
      </c>
      <c r="Y187" s="12" t="str">
        <f t="shared" si="54"/>
        <v>INSERT INTO sy_perm_list (USER_CD, OPT_CD, ACCESS_TYPE, BRANCH_CODE, CLASS_CODE, ENT_BY, ENT_DATE, ENT_BY_IP)</v>
      </c>
      <c r="Z187" s="12" t="str">
        <f t="shared" si="84"/>
        <v>VALUES('08801296','ClaimDocs.aspx', 'USER', '01', '08', 'ABDUL', SYSDATE, '10.6.100.63');</v>
      </c>
      <c r="AA187" s="12" t="str">
        <f t="shared" si="56"/>
        <v>INSERT INTO sy_perm_list (USER_CD, OPT_CD, ACCESS_TYPE, BRANCH_CODE, CLASS_CODE, ENT_BY, ENT_DATE, ENT_BY_IP)</v>
      </c>
      <c r="AB187" s="12" t="str">
        <f t="shared" si="85"/>
        <v>VALUES('08801296','Client.aspx', 'USER', '01', '08', 'ABDUL', SYSDATE, '10.6.100.63');</v>
      </c>
      <c r="AC187" s="12" t="str">
        <f t="shared" si="58"/>
        <v>INSERT INTO sy_perm_list (USER_CD, OPT_CD, ACCESS_TYPE, BRANCH_CODE, CLASS_CODE, ENT_BY, ENT_DATE, ENT_BY_IP)</v>
      </c>
      <c r="AD187" s="12" t="str">
        <f t="shared" si="86"/>
        <v>VALUES('08801296','ClientReports.aspx', 'USER', '01', '08', 'ABDUL', SYSDATE, '10.6.100.63');</v>
      </c>
      <c r="AE187" s="12" t="str">
        <f t="shared" si="60"/>
        <v>INSERT INTO sy_perm_list (USER_CD, OPT_CD, ACCESS_TYPE, BRANCH_CODE, CLASS_CODE, ENT_BY, ENT_DATE, ENT_BY_IP)</v>
      </c>
      <c r="AF187" s="12" t="str">
        <f t="shared" si="87"/>
        <v>VALUES('08801296','ClientRequests.aspx', 'USER', '01', '08', 'ABDUL', SYSDATE, '10.6.100.63');</v>
      </c>
      <c r="AG187" s="12" t="str">
        <f t="shared" si="62"/>
        <v>INSERT INTO sy_perm_list (USER_CD, OPT_CD, ACCESS_TYPE, BRANCH_CODE, CLASS_CODE, ENT_BY, ENT_DATE, ENT_BY_IP)</v>
      </c>
      <c r="AH187" s="12" t="str">
        <f t="shared" si="88"/>
        <v>VALUES('08801296','HealthLife.aspx', 'USER', '01', '08', 'ABDUL', SYSDATE, '10.6.100.63');</v>
      </c>
      <c r="AI187" s="12" t="str">
        <f t="shared" si="64"/>
        <v>INSERT INTO sy_perm_list (USER_CD, OPT_CD, ACCESS_TYPE, BRANCH_CODE, CLASS_CODE, ENT_BY, ENT_DATE, ENT_BY_IP)</v>
      </c>
      <c r="AJ187" s="12" t="str">
        <f t="shared" si="76"/>
        <v>VALUES('08801296','IpdClaim.aspx', 'USER', '01', '08', 'ABDUL', SYSDATE, '10.6.100.63');</v>
      </c>
      <c r="AK187" s="12" t="str">
        <f t="shared" si="66"/>
        <v>INSERT INTO sy_perm_list (USER_CD, OPT_CD, ACCESS_TYPE, BRANCH_CODE, CLASS_CODE, ENT_BY, ENT_DATE, ENT_BY_IP)</v>
      </c>
      <c r="AL187" s="12" t="str">
        <f t="shared" si="77"/>
        <v>VALUES('08801296','OpdClaim.aspx', 'USER', '01', '08', 'ABDUL', SYSDATE, '10.6.100.63');</v>
      </c>
      <c r="AM187" s="12" t="str">
        <f t="shared" si="68"/>
        <v>INSERT INTO sy_perm_list (USER_CD, OPT_CD, ACCESS_TYPE, BRANCH_CODE, CLASS_CODE, ENT_BY, ENT_DATE, ENT_BY_IP)</v>
      </c>
      <c r="AN187" s="12" t="str">
        <f t="shared" si="78"/>
        <v>VALUES('08801296','RequestDetails.aspx', 'USER', '01', '08', 'ABDUL', SYSDATE, '10.6.100.63');</v>
      </c>
      <c r="AO187" s="12" t="str">
        <f t="shared" si="70"/>
        <v>INSERT INTO sy_perm_list (USER_CD, OPT_CD, ACCESS_TYPE, BRANCH_CODE, CLASS_CODE, ENT_BY, ENT_DATE, ENT_BY_IP)</v>
      </c>
      <c r="AP187" s="12" t="str">
        <f t="shared" si="79"/>
        <v>VALUES('08801296','TodaysRequest.aspx', 'USER', '01', '08', 'ABDUL', SYSDATE, '10.6.100.63');</v>
      </c>
    </row>
    <row r="188" spans="1:42" s="6" customFormat="1" ht="77.25" x14ac:dyDescent="0.25">
      <c r="A188" s="4">
        <v>169</v>
      </c>
      <c r="B188" s="37" t="s">
        <v>878</v>
      </c>
      <c r="C188"/>
      <c r="D188"/>
      <c r="E188"/>
      <c r="F188" s="5" t="s">
        <v>287</v>
      </c>
      <c r="G188" s="6" t="s">
        <v>288</v>
      </c>
      <c r="H188"/>
      <c r="I188"/>
      <c r="J188" s="39" t="s">
        <v>879</v>
      </c>
      <c r="K188" s="39" t="s">
        <v>880</v>
      </c>
      <c r="L188" s="44" t="s">
        <v>882</v>
      </c>
      <c r="M188" s="11" t="s">
        <v>881</v>
      </c>
      <c r="N188"/>
      <c r="O188"/>
      <c r="P188"/>
      <c r="Q188"/>
      <c r="R188"/>
      <c r="S188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8" s="12" t="str">
        <f t="shared" ref="T188:T195" si="90">"VALUES('"&amp;B188&amp;"','"&amp;K188&amp;"','Salaam@123','Y','N',sysdate,'016', 'C', 'Client', '"&amp;M188&amp;"','01','B', '08', 'ABDUL', sysdate, '10.6.100.63', '"&amp;B188&amp;"');"</f>
        <v>VALUES('08801222','DECOJENT','Salaam@123','Y','N',sysdate,'016', 'C', 'Client', 'mohi@decojent.com','01','B', '08', 'ABDUL', sysdate, '10.6.100.63', '08801222');</v>
      </c>
      <c r="U188" s="12" t="str">
        <f t="shared" si="89"/>
        <v>INSERT INTO sy_user_branches (USER_CD, BRANCH_CODE, CLASS_CODE, ENT_BY, ENT_DATE, ENT_BY_IP)</v>
      </c>
      <c r="V188" s="12" t="str">
        <f t="shared" ref="V188:V195" si="91">"values('"&amp;B188&amp;"','01', '08', 'ABDUL', sysdate, '10.6.100.63');"</f>
        <v>values('08801222','01', '08', 'ABDUL', sysdate, '10.6.100.63');</v>
      </c>
      <c r="W188" s="12" t="str">
        <f t="shared" si="52"/>
        <v>INSERT INTO sy_perm_list (USER_CD, OPT_CD, ACCESS_TYPE, BRANCH_CODE, CLASS_CODE, ENT_BY, ENT_DATE, ENT_BY_IP)</v>
      </c>
      <c r="X188" s="12" t="str">
        <f>"VALUES('"&amp;B188&amp;"','ClaimComments.aspx', 'USER', '01', '08', 'ABDUL', SYSDATE, '10.6.100.63');"</f>
        <v>VALUES('08801222','ClaimComments.aspx', 'USER', '01', '08', 'ABDUL', SYSDATE, '10.6.100.63');</v>
      </c>
      <c r="Y188" s="12" t="str">
        <f t="shared" si="54"/>
        <v>INSERT INTO sy_perm_list (USER_CD, OPT_CD, ACCESS_TYPE, BRANCH_CODE, CLASS_CODE, ENT_BY, ENT_DATE, ENT_BY_IP)</v>
      </c>
      <c r="Z188" s="12" t="str">
        <f t="shared" ref="Z188:Z219" si="92">"VALUES('"&amp;B188&amp;"','ClaimDocs.aspx', 'USER', '01', '08', 'ABDUL', SYSDATE, '10.6.100.63');"</f>
        <v>VALUES('08801222','ClaimDocs.aspx', 'USER', '01', '08', 'ABDUL', SYSDATE, '10.6.100.63');</v>
      </c>
      <c r="AA188" s="12" t="str">
        <f t="shared" si="56"/>
        <v>INSERT INTO sy_perm_list (USER_CD, OPT_CD, ACCESS_TYPE, BRANCH_CODE, CLASS_CODE, ENT_BY, ENT_DATE, ENT_BY_IP)</v>
      </c>
      <c r="AB188" s="12" t="str">
        <f t="shared" si="85"/>
        <v>VALUES('08801222','Client.aspx', 'USER', '01', '08', 'ABDUL', SYSDATE, '10.6.100.63');</v>
      </c>
      <c r="AC188" s="12" t="str">
        <f t="shared" si="58"/>
        <v>INSERT INTO sy_perm_list (USER_CD, OPT_CD, ACCESS_TYPE, BRANCH_CODE, CLASS_CODE, ENT_BY, ENT_DATE, ENT_BY_IP)</v>
      </c>
      <c r="AD188" s="12" t="str">
        <f t="shared" si="86"/>
        <v>VALUES('08801222','ClientReports.aspx', 'USER', '01', '08', 'ABDUL', SYSDATE, '10.6.100.63');</v>
      </c>
      <c r="AE188" s="12" t="str">
        <f t="shared" si="60"/>
        <v>INSERT INTO sy_perm_list (USER_CD, OPT_CD, ACCESS_TYPE, BRANCH_CODE, CLASS_CODE, ENT_BY, ENT_DATE, ENT_BY_IP)</v>
      </c>
      <c r="AF188" s="12" t="str">
        <f t="shared" si="87"/>
        <v>VALUES('08801222','ClientRequests.aspx', 'USER', '01', '08', 'ABDUL', SYSDATE, '10.6.100.63');</v>
      </c>
      <c r="AG188" s="12" t="str">
        <f t="shared" si="62"/>
        <v>INSERT INTO sy_perm_list (USER_CD, OPT_CD, ACCESS_TYPE, BRANCH_CODE, CLASS_CODE, ENT_BY, ENT_DATE, ENT_BY_IP)</v>
      </c>
      <c r="AH188" s="12" t="str">
        <f t="shared" si="88"/>
        <v>VALUES('08801222','HealthLife.aspx', 'USER', '01', '08', 'ABDUL', SYSDATE, '10.6.100.63');</v>
      </c>
      <c r="AI188" s="12" t="str">
        <f t="shared" si="64"/>
        <v>INSERT INTO sy_perm_list (USER_CD, OPT_CD, ACCESS_TYPE, BRANCH_CODE, CLASS_CODE, ENT_BY, ENT_DATE, ENT_BY_IP)</v>
      </c>
      <c r="AJ188" s="12" t="str">
        <f t="shared" si="76"/>
        <v>VALUES('08801222','IpdClaim.aspx', 'USER', '01', '08', 'ABDUL', SYSDATE, '10.6.100.63');</v>
      </c>
      <c r="AK188" s="12" t="str">
        <f t="shared" si="66"/>
        <v>INSERT INTO sy_perm_list (USER_CD, OPT_CD, ACCESS_TYPE, BRANCH_CODE, CLASS_CODE, ENT_BY, ENT_DATE, ENT_BY_IP)</v>
      </c>
      <c r="AL188" s="12" t="str">
        <f t="shared" si="77"/>
        <v>VALUES('08801222','OpdClaim.aspx', 'USER', '01', '08', 'ABDUL', SYSDATE, '10.6.100.63');</v>
      </c>
      <c r="AM188" s="12" t="str">
        <f t="shared" si="68"/>
        <v>INSERT INTO sy_perm_list (USER_CD, OPT_CD, ACCESS_TYPE, BRANCH_CODE, CLASS_CODE, ENT_BY, ENT_DATE, ENT_BY_IP)</v>
      </c>
      <c r="AN188" s="12" t="str">
        <f t="shared" si="78"/>
        <v>VALUES('08801222','RequestDetails.aspx', 'USER', '01', '08', 'ABDUL', SYSDATE, '10.6.100.63');</v>
      </c>
      <c r="AO188" s="12" t="str">
        <f t="shared" si="70"/>
        <v>INSERT INTO sy_perm_list (USER_CD, OPT_CD, ACCESS_TYPE, BRANCH_CODE, CLASS_CODE, ENT_BY, ENT_DATE, ENT_BY_IP)</v>
      </c>
      <c r="AP188" s="12" t="str">
        <f t="shared" si="79"/>
        <v>VALUES('08801222','TodaysRequest.aspx', 'USER', '01', '08', 'ABDUL', SYSDATE, '10.6.100.63');</v>
      </c>
    </row>
    <row r="189" spans="1:42" s="6" customFormat="1" ht="77.25" x14ac:dyDescent="0.25">
      <c r="A189" s="4">
        <v>170</v>
      </c>
      <c r="B189" s="37" t="s">
        <v>885</v>
      </c>
      <c r="C189"/>
      <c r="D189"/>
      <c r="E189"/>
      <c r="F189" s="5" t="s">
        <v>287</v>
      </c>
      <c r="G189" s="6" t="s">
        <v>288</v>
      </c>
      <c r="H189"/>
      <c r="I189"/>
      <c r="J189" s="36" t="s">
        <v>883</v>
      </c>
      <c r="K189" s="36" t="s">
        <v>884</v>
      </c>
      <c r="L189" s="36" t="s">
        <v>886</v>
      </c>
      <c r="M189" s="11" t="s">
        <v>887</v>
      </c>
      <c r="N189"/>
      <c r="O189"/>
      <c r="P189"/>
      <c r="Q189"/>
      <c r="R189"/>
      <c r="S189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89" s="12" t="str">
        <f t="shared" si="90"/>
        <v>VALUES('08801970','Sapphire Consulting Services (Pvt) Ltd','Salaam@123','Y','N',sysdate,'016', 'C', 'Client', 'hasan.korejo@sapphire.co','01','B', '08', 'ABDUL', sysdate, '10.6.100.63', '08801970');</v>
      </c>
      <c r="U189" s="12" t="str">
        <f t="shared" si="89"/>
        <v>INSERT INTO sy_user_branches (USER_CD, BRANCH_CODE, CLASS_CODE, ENT_BY, ENT_DATE, ENT_BY_IP)</v>
      </c>
      <c r="V189" s="12" t="str">
        <f t="shared" si="91"/>
        <v>values('08801970','01', '08', 'ABDUL', sysdate, '10.6.100.63');</v>
      </c>
      <c r="W189" s="12" t="str">
        <f t="shared" si="52"/>
        <v>INSERT INTO sy_perm_list (USER_CD, OPT_CD, ACCESS_TYPE, BRANCH_CODE, CLASS_CODE, ENT_BY, ENT_DATE, ENT_BY_IP)</v>
      </c>
      <c r="X189" s="12" t="str">
        <f>"VALUES('"&amp;B189&amp;"','ClaimComments.aspx', 'USER', '01', '08', 'ABDUL', SYSDATE, '10.6.100.63');"</f>
        <v>VALUES('08801970','ClaimComments.aspx', 'USER', '01', '08', 'ABDUL', SYSDATE, '10.6.100.63');</v>
      </c>
      <c r="Y189" s="12" t="str">
        <f t="shared" si="54"/>
        <v>INSERT INTO sy_perm_list (USER_CD, OPT_CD, ACCESS_TYPE, BRANCH_CODE, CLASS_CODE, ENT_BY, ENT_DATE, ENT_BY_IP)</v>
      </c>
      <c r="Z189" s="12" t="str">
        <f t="shared" si="92"/>
        <v>VALUES('08801970','ClaimDocs.aspx', 'USER', '01', '08', 'ABDUL', SYSDATE, '10.6.100.63');</v>
      </c>
      <c r="AA189" s="12" t="str">
        <f t="shared" si="56"/>
        <v>INSERT INTO sy_perm_list (USER_CD, OPT_CD, ACCESS_TYPE, BRANCH_CODE, CLASS_CODE, ENT_BY, ENT_DATE, ENT_BY_IP)</v>
      </c>
      <c r="AB189" s="12" t="str">
        <f t="shared" ref="AB189:AB236" si="93">"VALUES('"&amp;B189&amp;"','Client.aspx', 'USER', '01', '08', 'ABDUL', SYSDATE, '10.6.100.63');"</f>
        <v>VALUES('08801970','Client.aspx', 'USER', '01', '08', 'ABDUL', SYSDATE, '10.6.100.63');</v>
      </c>
      <c r="AC189" s="12" t="str">
        <f t="shared" si="58"/>
        <v>INSERT INTO sy_perm_list (USER_CD, OPT_CD, ACCESS_TYPE, BRANCH_CODE, CLASS_CODE, ENT_BY, ENT_DATE, ENT_BY_IP)</v>
      </c>
      <c r="AD189" s="12" t="str">
        <f t="shared" ref="AD189:AD236" si="94">"VALUES('"&amp;B189&amp;"','ClientReports.aspx', 'USER', '01', '08', 'ABDUL', SYSDATE, '10.6.100.63');"</f>
        <v>VALUES('08801970','ClientReports.aspx', 'USER', '01', '08', 'ABDUL', SYSDATE, '10.6.100.63');</v>
      </c>
      <c r="AE189" s="12" t="str">
        <f t="shared" si="60"/>
        <v>INSERT INTO sy_perm_list (USER_CD, OPT_CD, ACCESS_TYPE, BRANCH_CODE, CLASS_CODE, ENT_BY, ENT_DATE, ENT_BY_IP)</v>
      </c>
      <c r="AF189" s="12" t="str">
        <f t="shared" ref="AF189:AF236" si="95">"VALUES('"&amp;B189&amp;"','ClientRequests.aspx', 'USER', '01', '08', 'ABDUL', SYSDATE, '10.6.100.63');"</f>
        <v>VALUES('08801970','ClientRequests.aspx', 'USER', '01', '08', 'ABDUL', SYSDATE, '10.6.100.63');</v>
      </c>
      <c r="AG189" s="12" t="str">
        <f t="shared" si="62"/>
        <v>INSERT INTO sy_perm_list (USER_CD, OPT_CD, ACCESS_TYPE, BRANCH_CODE, CLASS_CODE, ENT_BY, ENT_DATE, ENT_BY_IP)</v>
      </c>
      <c r="AH189" s="12" t="str">
        <f t="shared" ref="AH189:AH236" si="96">"VALUES('"&amp;B189&amp;"','HealthLife.aspx', 'USER', '01', '08', 'ABDUL', SYSDATE, '10.6.100.63');"</f>
        <v>VALUES('08801970','HealthLife.aspx', 'USER', '01', '08', 'ABDUL', SYSDATE, '10.6.100.63');</v>
      </c>
      <c r="AI189" s="12" t="str">
        <f t="shared" si="64"/>
        <v>INSERT INTO sy_perm_list (USER_CD, OPT_CD, ACCESS_TYPE, BRANCH_CODE, CLASS_CODE, ENT_BY, ENT_DATE, ENT_BY_IP)</v>
      </c>
      <c r="AJ189" s="12" t="str">
        <f t="shared" si="76"/>
        <v>VALUES('08801970','IpdClaim.aspx', 'USER', '01', '08', 'ABDUL', SYSDATE, '10.6.100.63');</v>
      </c>
      <c r="AK189" s="12" t="str">
        <f t="shared" si="66"/>
        <v>INSERT INTO sy_perm_list (USER_CD, OPT_CD, ACCESS_TYPE, BRANCH_CODE, CLASS_CODE, ENT_BY, ENT_DATE, ENT_BY_IP)</v>
      </c>
      <c r="AL189" s="12" t="str">
        <f t="shared" si="77"/>
        <v>VALUES('08801970','OpdClaim.aspx', 'USER', '01', '08', 'ABDUL', SYSDATE, '10.6.100.63');</v>
      </c>
      <c r="AM189" s="12" t="str">
        <f t="shared" si="68"/>
        <v>INSERT INTO sy_perm_list (USER_CD, OPT_CD, ACCESS_TYPE, BRANCH_CODE, CLASS_CODE, ENT_BY, ENT_DATE, ENT_BY_IP)</v>
      </c>
      <c r="AN189" s="12" t="str">
        <f t="shared" si="78"/>
        <v>VALUES('08801970','RequestDetails.aspx', 'USER', '01', '08', 'ABDUL', SYSDATE, '10.6.100.63');</v>
      </c>
      <c r="AO189" s="12" t="str">
        <f t="shared" si="70"/>
        <v>INSERT INTO sy_perm_list (USER_CD, OPT_CD, ACCESS_TYPE, BRANCH_CODE, CLASS_CODE, ENT_BY, ENT_DATE, ENT_BY_IP)</v>
      </c>
      <c r="AP189" s="12" t="str">
        <f t="shared" si="79"/>
        <v>VALUES('08801970','TodaysRequest.aspx', 'USER', '01', '08', 'ABDUL', SYSDATE, '10.6.100.63');</v>
      </c>
    </row>
    <row r="190" spans="1:42" s="6" customFormat="1" ht="77.25" x14ac:dyDescent="0.25">
      <c r="A190" s="4">
        <v>171</v>
      </c>
      <c r="B190" s="37" t="s">
        <v>890</v>
      </c>
      <c r="C190"/>
      <c r="D190"/>
      <c r="E190"/>
      <c r="F190" s="5" t="s">
        <v>287</v>
      </c>
      <c r="G190" s="6" t="s">
        <v>288</v>
      </c>
      <c r="H190"/>
      <c r="I190"/>
      <c r="J190" s="36" t="s">
        <v>888</v>
      </c>
      <c r="K190" s="36" t="s">
        <v>889</v>
      </c>
      <c r="L190" s="45" t="s">
        <v>891</v>
      </c>
      <c r="M190" s="11" t="s">
        <v>892</v>
      </c>
      <c r="N190"/>
      <c r="O190"/>
      <c r="P190"/>
      <c r="Q190"/>
      <c r="R190"/>
      <c r="S190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90" s="12" t="str">
        <f t="shared" si="90"/>
        <v>VALUES('08801968','Convolair Private Limited','Salaam@123','Y','N',sysdate,'016', 'C', 'Client', 'salman.qamar@sapphire.co','01','B', '08', 'ABDUL', sysdate, '10.6.100.63', '08801968');</v>
      </c>
      <c r="U190" s="12" t="str">
        <f t="shared" si="89"/>
        <v>INSERT INTO sy_user_branches (USER_CD, BRANCH_CODE, CLASS_CODE, ENT_BY, ENT_DATE, ENT_BY_IP)</v>
      </c>
      <c r="V190" s="12" t="str">
        <f t="shared" si="91"/>
        <v>values('08801968','01', '08', 'ABDUL', sysdate, '10.6.100.63');</v>
      </c>
      <c r="W190" s="12" t="str">
        <f t="shared" si="52"/>
        <v>INSERT INTO sy_perm_list (USER_CD, OPT_CD, ACCESS_TYPE, BRANCH_CODE, CLASS_CODE, ENT_BY, ENT_DATE, ENT_BY_IP)</v>
      </c>
      <c r="X190" s="12" t="str">
        <f>"VALUES('"&amp;B190&amp;"','ClaimComments.aspx', 'USER', '01', '08', 'ABDUL', SYSDATE, '10.6.100.63');"</f>
        <v>VALUES('08801968','ClaimComments.aspx', 'USER', '01', '08', 'ABDUL', SYSDATE, '10.6.100.63');</v>
      </c>
      <c r="Y190" s="12" t="str">
        <f t="shared" si="54"/>
        <v>INSERT INTO sy_perm_list (USER_CD, OPT_CD, ACCESS_TYPE, BRANCH_CODE, CLASS_CODE, ENT_BY, ENT_DATE, ENT_BY_IP)</v>
      </c>
      <c r="Z190" s="12" t="str">
        <f t="shared" si="92"/>
        <v>VALUES('08801968','ClaimDocs.aspx', 'USER', '01', '08', 'ABDUL', SYSDATE, '10.6.100.63');</v>
      </c>
      <c r="AA190" s="12" t="str">
        <f t="shared" si="56"/>
        <v>INSERT INTO sy_perm_list (USER_CD, OPT_CD, ACCESS_TYPE, BRANCH_CODE, CLASS_CODE, ENT_BY, ENT_DATE, ENT_BY_IP)</v>
      </c>
      <c r="AB190" s="12" t="str">
        <f t="shared" si="93"/>
        <v>VALUES('08801968','Client.aspx', 'USER', '01', '08', 'ABDUL', SYSDATE, '10.6.100.63');</v>
      </c>
      <c r="AC190" s="12" t="str">
        <f t="shared" si="58"/>
        <v>INSERT INTO sy_perm_list (USER_CD, OPT_CD, ACCESS_TYPE, BRANCH_CODE, CLASS_CODE, ENT_BY, ENT_DATE, ENT_BY_IP)</v>
      </c>
      <c r="AD190" s="12" t="str">
        <f t="shared" si="94"/>
        <v>VALUES('08801968','ClientReports.aspx', 'USER', '01', '08', 'ABDUL', SYSDATE, '10.6.100.63');</v>
      </c>
      <c r="AE190" s="12" t="str">
        <f t="shared" si="60"/>
        <v>INSERT INTO sy_perm_list (USER_CD, OPT_CD, ACCESS_TYPE, BRANCH_CODE, CLASS_CODE, ENT_BY, ENT_DATE, ENT_BY_IP)</v>
      </c>
      <c r="AF190" s="12" t="str">
        <f t="shared" si="95"/>
        <v>VALUES('08801968','ClientRequests.aspx', 'USER', '01', '08', 'ABDUL', SYSDATE, '10.6.100.63');</v>
      </c>
      <c r="AG190" s="12" t="str">
        <f t="shared" si="62"/>
        <v>INSERT INTO sy_perm_list (USER_CD, OPT_CD, ACCESS_TYPE, BRANCH_CODE, CLASS_CODE, ENT_BY, ENT_DATE, ENT_BY_IP)</v>
      </c>
      <c r="AH190" s="12" t="str">
        <f t="shared" si="96"/>
        <v>VALUES('08801968','HealthLife.aspx', 'USER', '01', '08', 'ABDUL', SYSDATE, '10.6.100.63');</v>
      </c>
      <c r="AI190" s="12" t="str">
        <f t="shared" si="64"/>
        <v>INSERT INTO sy_perm_list (USER_CD, OPT_CD, ACCESS_TYPE, BRANCH_CODE, CLASS_CODE, ENT_BY, ENT_DATE, ENT_BY_IP)</v>
      </c>
      <c r="AJ190" s="12" t="str">
        <f t="shared" si="76"/>
        <v>VALUES('08801968','IpdClaim.aspx', 'USER', '01', '08', 'ABDUL', SYSDATE, '10.6.100.63');</v>
      </c>
      <c r="AK190" s="12" t="str">
        <f t="shared" si="66"/>
        <v>INSERT INTO sy_perm_list (USER_CD, OPT_CD, ACCESS_TYPE, BRANCH_CODE, CLASS_CODE, ENT_BY, ENT_DATE, ENT_BY_IP)</v>
      </c>
      <c r="AL190" s="12" t="str">
        <f t="shared" si="77"/>
        <v>VALUES('08801968','OpdClaim.aspx', 'USER', '01', '08', 'ABDUL', SYSDATE, '10.6.100.63');</v>
      </c>
      <c r="AM190" s="12" t="str">
        <f t="shared" si="68"/>
        <v>INSERT INTO sy_perm_list (USER_CD, OPT_CD, ACCESS_TYPE, BRANCH_CODE, CLASS_CODE, ENT_BY, ENT_DATE, ENT_BY_IP)</v>
      </c>
      <c r="AN190" s="12" t="str">
        <f t="shared" si="78"/>
        <v>VALUES('08801968','RequestDetails.aspx', 'USER', '01', '08', 'ABDUL', SYSDATE, '10.6.100.63');</v>
      </c>
      <c r="AO190" s="12" t="str">
        <f t="shared" si="70"/>
        <v>INSERT INTO sy_perm_list (USER_CD, OPT_CD, ACCESS_TYPE, BRANCH_CODE, CLASS_CODE, ENT_BY, ENT_DATE, ENT_BY_IP)</v>
      </c>
      <c r="AP190" s="12" t="str">
        <f t="shared" si="79"/>
        <v>VALUES('08801968','TodaysRequest.aspx', 'USER', '01', '08', 'ABDUL', SYSDATE, '10.6.100.63');</v>
      </c>
    </row>
    <row r="191" spans="1:42" s="6" customFormat="1" ht="78" thickBot="1" x14ac:dyDescent="0.3">
      <c r="A191" s="4">
        <v>172</v>
      </c>
      <c r="B191" s="37" t="s">
        <v>893</v>
      </c>
      <c r="C191"/>
      <c r="D191"/>
      <c r="E191"/>
      <c r="F191" s="5" t="s">
        <v>287</v>
      </c>
      <c r="G191" s="6" t="s">
        <v>288</v>
      </c>
      <c r="H191"/>
      <c r="I191"/>
      <c r="J191" s="36" t="s">
        <v>894</v>
      </c>
      <c r="K191" s="36" t="s">
        <v>895</v>
      </c>
      <c r="L191" s="36" t="s">
        <v>896</v>
      </c>
      <c r="M191" s="42" t="s">
        <v>121</v>
      </c>
      <c r="N191"/>
      <c r="O191"/>
      <c r="P191"/>
      <c r="Q191"/>
      <c r="R191"/>
      <c r="S191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91" s="12" t="str">
        <f t="shared" si="90"/>
        <v>VALUES('08802015','KAISPE','Salaam@123','Y','N',sysdate,'016', 'C', 'Client', 'qasim.muhammad@brotetechnologies.com','01','B', '08', 'ABDUL', sysdate, '10.6.100.63', '08802015');</v>
      </c>
      <c r="U191" s="12" t="str">
        <f t="shared" si="89"/>
        <v>INSERT INTO sy_user_branches (USER_CD, BRANCH_CODE, CLASS_CODE, ENT_BY, ENT_DATE, ENT_BY_IP)</v>
      </c>
      <c r="V191" s="12" t="str">
        <f t="shared" si="91"/>
        <v>values('08802015','01', '08', 'ABDUL', sysdate, '10.6.100.63');</v>
      </c>
      <c r="W191" s="12" t="str">
        <f t="shared" si="52"/>
        <v>INSERT INTO sy_perm_list (USER_CD, OPT_CD, ACCESS_TYPE, BRANCH_CODE, CLASS_CODE, ENT_BY, ENT_DATE, ENT_BY_IP)</v>
      </c>
      <c r="X191" s="12" t="str">
        <f t="shared" ref="X191:X196" si="97">"VALUES('"&amp;B191&amp;"','ClaimComments.aspx', 'USER', '01', '08', 'ABDUL', SYSDATE, '10.6.100.63');"</f>
        <v>VALUES('08802015','ClaimComments.aspx', 'USER', '01', '08', 'ABDUL', SYSDATE, '10.6.100.63');</v>
      </c>
      <c r="Y191" s="12" t="str">
        <f t="shared" si="54"/>
        <v>INSERT INTO sy_perm_list (USER_CD, OPT_CD, ACCESS_TYPE, BRANCH_CODE, CLASS_CODE, ENT_BY, ENT_DATE, ENT_BY_IP)</v>
      </c>
      <c r="Z191" s="12" t="str">
        <f t="shared" si="92"/>
        <v>VALUES('08802015','ClaimDocs.aspx', 'USER', '01', '08', 'ABDUL', SYSDATE, '10.6.100.63');</v>
      </c>
      <c r="AA191" s="12" t="str">
        <f t="shared" si="56"/>
        <v>INSERT INTO sy_perm_list (USER_CD, OPT_CD, ACCESS_TYPE, BRANCH_CODE, CLASS_CODE, ENT_BY, ENT_DATE, ENT_BY_IP)</v>
      </c>
      <c r="AB191" s="12" t="str">
        <f t="shared" si="93"/>
        <v>VALUES('08802015','Client.aspx', 'USER', '01', '08', 'ABDUL', SYSDATE, '10.6.100.63');</v>
      </c>
      <c r="AC191" s="12" t="str">
        <f t="shared" si="58"/>
        <v>INSERT INTO sy_perm_list (USER_CD, OPT_CD, ACCESS_TYPE, BRANCH_CODE, CLASS_CODE, ENT_BY, ENT_DATE, ENT_BY_IP)</v>
      </c>
      <c r="AD191" s="12" t="str">
        <f t="shared" si="94"/>
        <v>VALUES('08802015','ClientReports.aspx', 'USER', '01', '08', 'ABDUL', SYSDATE, '10.6.100.63');</v>
      </c>
      <c r="AE191" s="12" t="str">
        <f t="shared" si="60"/>
        <v>INSERT INTO sy_perm_list (USER_CD, OPT_CD, ACCESS_TYPE, BRANCH_CODE, CLASS_CODE, ENT_BY, ENT_DATE, ENT_BY_IP)</v>
      </c>
      <c r="AF191" s="12" t="str">
        <f t="shared" si="95"/>
        <v>VALUES('08802015','ClientRequests.aspx', 'USER', '01', '08', 'ABDUL', SYSDATE, '10.6.100.63');</v>
      </c>
      <c r="AG191" s="12" t="str">
        <f t="shared" si="62"/>
        <v>INSERT INTO sy_perm_list (USER_CD, OPT_CD, ACCESS_TYPE, BRANCH_CODE, CLASS_CODE, ENT_BY, ENT_DATE, ENT_BY_IP)</v>
      </c>
      <c r="AH191" s="12" t="str">
        <f t="shared" si="96"/>
        <v>VALUES('08802015','HealthLife.aspx', 'USER', '01', '08', 'ABDUL', SYSDATE, '10.6.100.63');</v>
      </c>
      <c r="AI191" s="12" t="str">
        <f t="shared" si="64"/>
        <v>INSERT INTO sy_perm_list (USER_CD, OPT_CD, ACCESS_TYPE, BRANCH_CODE, CLASS_CODE, ENT_BY, ENT_DATE, ENT_BY_IP)</v>
      </c>
      <c r="AJ191" s="12" t="str">
        <f t="shared" si="76"/>
        <v>VALUES('08802015','IpdClaim.aspx', 'USER', '01', '08', 'ABDUL', SYSDATE, '10.6.100.63');</v>
      </c>
      <c r="AK191" s="12" t="str">
        <f t="shared" si="66"/>
        <v>INSERT INTO sy_perm_list (USER_CD, OPT_CD, ACCESS_TYPE, BRANCH_CODE, CLASS_CODE, ENT_BY, ENT_DATE, ENT_BY_IP)</v>
      </c>
      <c r="AL191" s="12" t="str">
        <f t="shared" si="77"/>
        <v>VALUES('08802015','OpdClaim.aspx', 'USER', '01', '08', 'ABDUL', SYSDATE, '10.6.100.63');</v>
      </c>
      <c r="AM191" s="12" t="str">
        <f t="shared" si="68"/>
        <v>INSERT INTO sy_perm_list (USER_CD, OPT_CD, ACCESS_TYPE, BRANCH_CODE, CLASS_CODE, ENT_BY, ENT_DATE, ENT_BY_IP)</v>
      </c>
      <c r="AN191" s="12" t="str">
        <f t="shared" si="78"/>
        <v>VALUES('08802015','RequestDetails.aspx', 'USER', '01', '08', 'ABDUL', SYSDATE, '10.6.100.63');</v>
      </c>
      <c r="AO191" s="12" t="str">
        <f t="shared" si="70"/>
        <v>INSERT INTO sy_perm_list (USER_CD, OPT_CD, ACCESS_TYPE, BRANCH_CODE, CLASS_CODE, ENT_BY, ENT_DATE, ENT_BY_IP)</v>
      </c>
      <c r="AP191" s="12" t="str">
        <f t="shared" si="79"/>
        <v>VALUES('08802015','TodaysRequest.aspx', 'USER', '01', '08', 'ABDUL', SYSDATE, '10.6.100.63');</v>
      </c>
    </row>
    <row r="192" spans="1:42" s="6" customFormat="1" ht="78" thickBot="1" x14ac:dyDescent="0.3">
      <c r="A192" s="4">
        <v>173</v>
      </c>
      <c r="B192" s="37" t="s">
        <v>897</v>
      </c>
      <c r="C192"/>
      <c r="D192"/>
      <c r="E192"/>
      <c r="F192" s="5" t="s">
        <v>287</v>
      </c>
      <c r="G192" s="6" t="s">
        <v>288</v>
      </c>
      <c r="H192"/>
      <c r="I192"/>
      <c r="J192" s="36" t="s">
        <v>899</v>
      </c>
      <c r="K192" s="46" t="s">
        <v>900</v>
      </c>
      <c r="L192" s="36" t="s">
        <v>901</v>
      </c>
      <c r="M192" s="11" t="s">
        <v>898</v>
      </c>
      <c r="N192"/>
      <c r="O192"/>
      <c r="P192"/>
      <c r="Q192"/>
      <c r="R192"/>
      <c r="S192" s="12" t="str">
        <f t="shared" si="80"/>
        <v>insert into sy_users (USER_CD, USER_NAME, USER_PASS, ACTIVE, LOCK_USER, LAST_PASS_DATE, COST_CODE, USER_CATEGORY, DESIGNATION, EMAIL, BRANCH_CODE, USER_TYPE, CLASS_CODE, ENT_BY, ENT_DATE, ENT_BY_IP,PARTTAKER_CODE)</v>
      </c>
      <c r="T192" s="12" t="str">
        <f t="shared" si="90"/>
        <v>VALUES('08802057','Aligarh Institute of Technology','Salaam@123','Y','N',sysdate,'016', 'C', 'Client', 'rraza@aligarh.edu.pk','01','B', '08', 'ABDUL', sysdate, '10.6.100.63', '08802057');</v>
      </c>
      <c r="U192" s="12" t="str">
        <f t="shared" si="89"/>
        <v>INSERT INTO sy_user_branches (USER_CD, BRANCH_CODE, CLASS_CODE, ENT_BY, ENT_DATE, ENT_BY_IP)</v>
      </c>
      <c r="V192" s="12" t="str">
        <f t="shared" si="91"/>
        <v>values('08802057','01', '08', 'ABDUL', sysdate, '10.6.100.63');</v>
      </c>
      <c r="W192" s="12" t="str">
        <f t="shared" si="52"/>
        <v>INSERT INTO sy_perm_list (USER_CD, OPT_CD, ACCESS_TYPE, BRANCH_CODE, CLASS_CODE, ENT_BY, ENT_DATE, ENT_BY_IP)</v>
      </c>
      <c r="X192" s="12" t="str">
        <f t="shared" si="97"/>
        <v>VALUES('08802057','ClaimComments.aspx', 'USER', '01', '08', 'ABDUL', SYSDATE, '10.6.100.63');</v>
      </c>
      <c r="Y192" s="12" t="str">
        <f t="shared" si="54"/>
        <v>INSERT INTO sy_perm_list (USER_CD, OPT_CD, ACCESS_TYPE, BRANCH_CODE, CLASS_CODE, ENT_BY, ENT_DATE, ENT_BY_IP)</v>
      </c>
      <c r="Z192" s="12" t="str">
        <f t="shared" si="92"/>
        <v>VALUES('08802057','ClaimDocs.aspx', 'USER', '01', '08', 'ABDUL', SYSDATE, '10.6.100.63');</v>
      </c>
      <c r="AA192" s="12" t="str">
        <f t="shared" si="56"/>
        <v>INSERT INTO sy_perm_list (USER_CD, OPT_CD, ACCESS_TYPE, BRANCH_CODE, CLASS_CODE, ENT_BY, ENT_DATE, ENT_BY_IP)</v>
      </c>
      <c r="AB192" s="12" t="str">
        <f t="shared" si="93"/>
        <v>VALUES('08802057','Client.aspx', 'USER', '01', '08', 'ABDUL', SYSDATE, '10.6.100.63');</v>
      </c>
      <c r="AC192" s="12" t="str">
        <f t="shared" si="58"/>
        <v>INSERT INTO sy_perm_list (USER_CD, OPT_CD, ACCESS_TYPE, BRANCH_CODE, CLASS_CODE, ENT_BY, ENT_DATE, ENT_BY_IP)</v>
      </c>
      <c r="AD192" s="12" t="str">
        <f t="shared" si="94"/>
        <v>VALUES('08802057','ClientReports.aspx', 'USER', '01', '08', 'ABDUL', SYSDATE, '10.6.100.63');</v>
      </c>
      <c r="AE192" s="12" t="str">
        <f t="shared" si="60"/>
        <v>INSERT INTO sy_perm_list (USER_CD, OPT_CD, ACCESS_TYPE, BRANCH_CODE, CLASS_CODE, ENT_BY, ENT_DATE, ENT_BY_IP)</v>
      </c>
      <c r="AF192" s="12" t="str">
        <f t="shared" si="95"/>
        <v>VALUES('08802057','ClientRequests.aspx', 'USER', '01', '08', 'ABDUL', SYSDATE, '10.6.100.63');</v>
      </c>
      <c r="AG192" s="12" t="str">
        <f t="shared" si="62"/>
        <v>INSERT INTO sy_perm_list (USER_CD, OPT_CD, ACCESS_TYPE, BRANCH_CODE, CLASS_CODE, ENT_BY, ENT_DATE, ENT_BY_IP)</v>
      </c>
      <c r="AH192" s="12" t="str">
        <f t="shared" si="96"/>
        <v>VALUES('08802057','HealthLife.aspx', 'USER', '01', '08', 'ABDUL', SYSDATE, '10.6.100.63');</v>
      </c>
      <c r="AI192" s="12" t="str">
        <f t="shared" si="64"/>
        <v>INSERT INTO sy_perm_list (USER_CD, OPT_CD, ACCESS_TYPE, BRANCH_CODE, CLASS_CODE, ENT_BY, ENT_DATE, ENT_BY_IP)</v>
      </c>
      <c r="AJ192" s="12" t="str">
        <f t="shared" si="76"/>
        <v>VALUES('08802057','IpdClaim.aspx', 'USER', '01', '08', 'ABDUL', SYSDATE, '10.6.100.63');</v>
      </c>
      <c r="AK192" s="12" t="str">
        <f t="shared" si="66"/>
        <v>INSERT INTO sy_perm_list (USER_CD, OPT_CD, ACCESS_TYPE, BRANCH_CODE, CLASS_CODE, ENT_BY, ENT_DATE, ENT_BY_IP)</v>
      </c>
      <c r="AL192" s="12" t="str">
        <f t="shared" si="77"/>
        <v>VALUES('08802057','OpdClaim.aspx', 'USER', '01', '08', 'ABDUL', SYSDATE, '10.6.100.63');</v>
      </c>
      <c r="AM192" s="12" t="str">
        <f t="shared" si="68"/>
        <v>INSERT INTO sy_perm_list (USER_CD, OPT_CD, ACCESS_TYPE, BRANCH_CODE, CLASS_CODE, ENT_BY, ENT_DATE, ENT_BY_IP)</v>
      </c>
      <c r="AN192" s="12" t="str">
        <f t="shared" si="78"/>
        <v>VALUES('08802057','RequestDetails.aspx', 'USER', '01', '08', 'ABDUL', SYSDATE, '10.6.100.63');</v>
      </c>
      <c r="AO192" s="12" t="str">
        <f t="shared" si="70"/>
        <v>INSERT INTO sy_perm_list (USER_CD, OPT_CD, ACCESS_TYPE, BRANCH_CODE, CLASS_CODE, ENT_BY, ENT_DATE, ENT_BY_IP)</v>
      </c>
      <c r="AP192" s="12" t="str">
        <f t="shared" si="79"/>
        <v>VALUES('08802057','TodaysRequest.aspx', 'USER', '01', '08', 'ABDUL', SYSDATE, '10.6.100.63');</v>
      </c>
    </row>
    <row r="193" spans="1:42" s="6" customFormat="1" ht="77.25" x14ac:dyDescent="0.25">
      <c r="A193" s="4">
        <v>174</v>
      </c>
      <c r="B193" s="37" t="s">
        <v>902</v>
      </c>
      <c r="C193"/>
      <c r="D193"/>
      <c r="E193"/>
      <c r="F193" s="5" t="s">
        <v>287</v>
      </c>
      <c r="G193" s="6" t="s">
        <v>288</v>
      </c>
      <c r="H193"/>
      <c r="I193"/>
      <c r="J193" s="36" t="s">
        <v>905</v>
      </c>
      <c r="K193" s="36" t="s">
        <v>906</v>
      </c>
      <c r="L193" s="36" t="s">
        <v>903</v>
      </c>
      <c r="M193" s="11" t="s">
        <v>904</v>
      </c>
      <c r="N193"/>
      <c r="O193"/>
      <c r="P193"/>
      <c r="Q193"/>
      <c r="R193"/>
      <c r="S193" s="12" t="str">
        <f t="shared" ref="S193:S236" si="98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193" s="12" t="str">
        <f t="shared" si="90"/>
        <v>VALUES('08801888','Tola Associates','Salaam@123','Y','N',sysdate,'016', 'C', 'Client', 'connect@tolaassociates.com','01','B', '08', 'ABDUL', sysdate, '10.6.100.63', '08801888');</v>
      </c>
      <c r="U193" s="12" t="str">
        <f t="shared" si="89"/>
        <v>INSERT INTO sy_user_branches (USER_CD, BRANCH_CODE, CLASS_CODE, ENT_BY, ENT_DATE, ENT_BY_IP)</v>
      </c>
      <c r="V193" s="12" t="str">
        <f t="shared" si="91"/>
        <v>values('08801888','01', '08', 'ABDUL', sysdate, '10.6.100.63');</v>
      </c>
      <c r="W193" s="12" t="str">
        <f t="shared" si="52"/>
        <v>INSERT INTO sy_perm_list (USER_CD, OPT_CD, ACCESS_TYPE, BRANCH_CODE, CLASS_CODE, ENT_BY, ENT_DATE, ENT_BY_IP)</v>
      </c>
      <c r="X193" s="12" t="str">
        <f t="shared" si="97"/>
        <v>VALUES('08801888','ClaimComments.aspx', 'USER', '01', '08', 'ABDUL', SYSDATE, '10.6.100.63');</v>
      </c>
      <c r="Y193" s="12" t="str">
        <f t="shared" si="54"/>
        <v>INSERT INTO sy_perm_list (USER_CD, OPT_CD, ACCESS_TYPE, BRANCH_CODE, CLASS_CODE, ENT_BY, ENT_DATE, ENT_BY_IP)</v>
      </c>
      <c r="Z193" s="12" t="str">
        <f t="shared" si="92"/>
        <v>VALUES('08801888','ClaimDocs.aspx', 'USER', '01', '08', 'ABDUL', SYSDATE, '10.6.100.63');</v>
      </c>
      <c r="AA193" s="12" t="str">
        <f t="shared" si="56"/>
        <v>INSERT INTO sy_perm_list (USER_CD, OPT_CD, ACCESS_TYPE, BRANCH_CODE, CLASS_CODE, ENT_BY, ENT_DATE, ENT_BY_IP)</v>
      </c>
      <c r="AB193" s="12" t="str">
        <f t="shared" si="93"/>
        <v>VALUES('08801888','Client.aspx', 'USER', '01', '08', 'ABDUL', SYSDATE, '10.6.100.63');</v>
      </c>
      <c r="AC193" s="12" t="str">
        <f t="shared" si="58"/>
        <v>INSERT INTO sy_perm_list (USER_CD, OPT_CD, ACCESS_TYPE, BRANCH_CODE, CLASS_CODE, ENT_BY, ENT_DATE, ENT_BY_IP)</v>
      </c>
      <c r="AD193" s="12" t="str">
        <f t="shared" si="94"/>
        <v>VALUES('08801888','ClientReports.aspx', 'USER', '01', '08', 'ABDUL', SYSDATE, '10.6.100.63');</v>
      </c>
      <c r="AE193" s="12" t="str">
        <f t="shared" si="60"/>
        <v>INSERT INTO sy_perm_list (USER_CD, OPT_CD, ACCESS_TYPE, BRANCH_CODE, CLASS_CODE, ENT_BY, ENT_DATE, ENT_BY_IP)</v>
      </c>
      <c r="AF193" s="12" t="str">
        <f t="shared" si="95"/>
        <v>VALUES('08801888','ClientRequests.aspx', 'USER', '01', '08', 'ABDUL', SYSDATE, '10.6.100.63');</v>
      </c>
      <c r="AG193" s="12" t="str">
        <f t="shared" si="62"/>
        <v>INSERT INTO sy_perm_list (USER_CD, OPT_CD, ACCESS_TYPE, BRANCH_CODE, CLASS_CODE, ENT_BY, ENT_DATE, ENT_BY_IP)</v>
      </c>
      <c r="AH193" s="12" t="str">
        <f t="shared" si="96"/>
        <v>VALUES('08801888','HealthLife.aspx', 'USER', '01', '08', 'ABDUL', SYSDATE, '10.6.100.63');</v>
      </c>
      <c r="AI193" s="12" t="str">
        <f t="shared" si="64"/>
        <v>INSERT INTO sy_perm_list (USER_CD, OPT_CD, ACCESS_TYPE, BRANCH_CODE, CLASS_CODE, ENT_BY, ENT_DATE, ENT_BY_IP)</v>
      </c>
      <c r="AJ193" s="12" t="str">
        <f t="shared" si="76"/>
        <v>VALUES('08801888','IpdClaim.aspx', 'USER', '01', '08', 'ABDUL', SYSDATE, '10.6.100.63');</v>
      </c>
      <c r="AK193" s="12" t="str">
        <f t="shared" si="66"/>
        <v>INSERT INTO sy_perm_list (USER_CD, OPT_CD, ACCESS_TYPE, BRANCH_CODE, CLASS_CODE, ENT_BY, ENT_DATE, ENT_BY_IP)</v>
      </c>
      <c r="AL193" s="12" t="str">
        <f t="shared" si="77"/>
        <v>VALUES('08801888','OpdClaim.aspx', 'USER', '01', '08', 'ABDUL', SYSDATE, '10.6.100.63');</v>
      </c>
      <c r="AM193" s="12" t="str">
        <f t="shared" si="68"/>
        <v>INSERT INTO sy_perm_list (USER_CD, OPT_CD, ACCESS_TYPE, BRANCH_CODE, CLASS_CODE, ENT_BY, ENT_DATE, ENT_BY_IP)</v>
      </c>
      <c r="AN193" s="12" t="str">
        <f t="shared" si="78"/>
        <v>VALUES('08801888','RequestDetails.aspx', 'USER', '01', '08', 'ABDUL', SYSDATE, '10.6.100.63');</v>
      </c>
      <c r="AO193" s="12" t="str">
        <f t="shared" si="70"/>
        <v>INSERT INTO sy_perm_list (USER_CD, OPT_CD, ACCESS_TYPE, BRANCH_CODE, CLASS_CODE, ENT_BY, ENT_DATE, ENT_BY_IP)</v>
      </c>
      <c r="AP193" s="12" t="str">
        <f t="shared" si="79"/>
        <v>VALUES('08801888','TodaysRequest.aspx', 'USER', '01', '08', 'ABDUL', SYSDATE, '10.6.100.63');</v>
      </c>
    </row>
    <row r="194" spans="1:42" s="6" customFormat="1" ht="90" x14ac:dyDescent="0.25">
      <c r="A194" s="4">
        <v>175</v>
      </c>
      <c r="B194" s="37" t="s">
        <v>909</v>
      </c>
      <c r="C194"/>
      <c r="D194"/>
      <c r="E194"/>
      <c r="F194" s="5" t="s">
        <v>287</v>
      </c>
      <c r="G194" s="6" t="s">
        <v>288</v>
      </c>
      <c r="H194"/>
      <c r="I194"/>
      <c r="J194" s="39" t="s">
        <v>907</v>
      </c>
      <c r="K194" s="39" t="s">
        <v>908</v>
      </c>
      <c r="L194" s="36" t="s">
        <v>910</v>
      </c>
      <c r="M194" s="11" t="s">
        <v>911</v>
      </c>
      <c r="N194"/>
      <c r="O194"/>
      <c r="P194"/>
      <c r="Q194"/>
      <c r="R194"/>
      <c r="S194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194" s="12" t="str">
        <f t="shared" si="90"/>
        <v>VALUES('08801998','OOHLALA PAKISTAN (PRIVATE) LIMITED','Salaam@123','Y','N',sysdate,'016', 'C', 'Client', 'imran.haider@readyeducation.com','01','B', '08', 'ABDUL', sysdate, '10.6.100.63', '08801998');</v>
      </c>
      <c r="U194" s="12" t="str">
        <f t="shared" si="89"/>
        <v>INSERT INTO sy_user_branches (USER_CD, BRANCH_CODE, CLASS_CODE, ENT_BY, ENT_DATE, ENT_BY_IP)</v>
      </c>
      <c r="V194" s="12" t="str">
        <f t="shared" si="91"/>
        <v>values('08801998','01', '08', 'ABDUL', sysdate, '10.6.100.63');</v>
      </c>
      <c r="W194" s="12" t="str">
        <f t="shared" si="52"/>
        <v>INSERT INTO sy_perm_list (USER_CD, OPT_CD, ACCESS_TYPE, BRANCH_CODE, CLASS_CODE, ENT_BY, ENT_DATE, ENT_BY_IP)</v>
      </c>
      <c r="X194" s="12" t="str">
        <f t="shared" si="97"/>
        <v>VALUES('08801998','ClaimComments.aspx', 'USER', '01', '08', 'ABDUL', SYSDATE, '10.6.100.63');</v>
      </c>
      <c r="Y194" s="12" t="str">
        <f t="shared" si="54"/>
        <v>INSERT INTO sy_perm_list (USER_CD, OPT_CD, ACCESS_TYPE, BRANCH_CODE, CLASS_CODE, ENT_BY, ENT_DATE, ENT_BY_IP)</v>
      </c>
      <c r="Z194" s="12" t="str">
        <f t="shared" si="92"/>
        <v>VALUES('08801998','ClaimDocs.aspx', 'USER', '01', '08', 'ABDUL', SYSDATE, '10.6.100.63');</v>
      </c>
      <c r="AA194" s="12" t="str">
        <f t="shared" si="56"/>
        <v>INSERT INTO sy_perm_list (USER_CD, OPT_CD, ACCESS_TYPE, BRANCH_CODE, CLASS_CODE, ENT_BY, ENT_DATE, ENT_BY_IP)</v>
      </c>
      <c r="AB194" s="12" t="str">
        <f t="shared" si="93"/>
        <v>VALUES('08801998','Client.aspx', 'USER', '01', '08', 'ABDUL', SYSDATE, '10.6.100.63');</v>
      </c>
      <c r="AC194" s="12" t="str">
        <f t="shared" si="58"/>
        <v>INSERT INTO sy_perm_list (USER_CD, OPT_CD, ACCESS_TYPE, BRANCH_CODE, CLASS_CODE, ENT_BY, ENT_DATE, ENT_BY_IP)</v>
      </c>
      <c r="AD194" s="12" t="str">
        <f t="shared" si="94"/>
        <v>VALUES('08801998','ClientReports.aspx', 'USER', '01', '08', 'ABDUL', SYSDATE, '10.6.100.63');</v>
      </c>
      <c r="AE194" s="12" t="str">
        <f t="shared" si="60"/>
        <v>INSERT INTO sy_perm_list (USER_CD, OPT_CD, ACCESS_TYPE, BRANCH_CODE, CLASS_CODE, ENT_BY, ENT_DATE, ENT_BY_IP)</v>
      </c>
      <c r="AF194" s="12" t="str">
        <f t="shared" si="95"/>
        <v>VALUES('08801998','ClientRequests.aspx', 'USER', '01', '08', 'ABDUL', SYSDATE, '10.6.100.63');</v>
      </c>
      <c r="AG194" s="12" t="str">
        <f t="shared" si="62"/>
        <v>INSERT INTO sy_perm_list (USER_CD, OPT_CD, ACCESS_TYPE, BRANCH_CODE, CLASS_CODE, ENT_BY, ENT_DATE, ENT_BY_IP)</v>
      </c>
      <c r="AH194" s="12" t="str">
        <f t="shared" si="96"/>
        <v>VALUES('08801998','HealthLife.aspx', 'USER', '01', '08', 'ABDUL', SYSDATE, '10.6.100.63');</v>
      </c>
      <c r="AI194" s="12" t="str">
        <f t="shared" si="64"/>
        <v>INSERT INTO sy_perm_list (USER_CD, OPT_CD, ACCESS_TYPE, BRANCH_CODE, CLASS_CODE, ENT_BY, ENT_DATE, ENT_BY_IP)</v>
      </c>
      <c r="AJ194" s="12" t="str">
        <f t="shared" si="76"/>
        <v>VALUES('08801998','IpdClaim.aspx', 'USER', '01', '08', 'ABDUL', SYSDATE, '10.6.100.63');</v>
      </c>
      <c r="AK194" s="12" t="str">
        <f t="shared" si="66"/>
        <v>INSERT INTO sy_perm_list (USER_CD, OPT_CD, ACCESS_TYPE, BRANCH_CODE, CLASS_CODE, ENT_BY, ENT_DATE, ENT_BY_IP)</v>
      </c>
      <c r="AL194" s="12" t="str">
        <f t="shared" si="77"/>
        <v>VALUES('08801998','OpdClaim.aspx', 'USER', '01', '08', 'ABDUL', SYSDATE, '10.6.100.63');</v>
      </c>
      <c r="AM194" s="12" t="str">
        <f t="shared" si="68"/>
        <v>INSERT INTO sy_perm_list (USER_CD, OPT_CD, ACCESS_TYPE, BRANCH_CODE, CLASS_CODE, ENT_BY, ENT_DATE, ENT_BY_IP)</v>
      </c>
      <c r="AN194" s="12" t="str">
        <f t="shared" si="78"/>
        <v>VALUES('08801998','RequestDetails.aspx', 'USER', '01', '08', 'ABDUL', SYSDATE, '10.6.100.63');</v>
      </c>
      <c r="AO194" s="12" t="str">
        <f t="shared" si="70"/>
        <v>INSERT INTO sy_perm_list (USER_CD, OPT_CD, ACCESS_TYPE, BRANCH_CODE, CLASS_CODE, ENT_BY, ENT_DATE, ENT_BY_IP)</v>
      </c>
      <c r="AP194" s="12" t="str">
        <f t="shared" si="79"/>
        <v>VALUES('08801998','TodaysRequest.aspx', 'USER', '01', '08', 'ABDUL', SYSDATE, '10.6.100.63');</v>
      </c>
    </row>
    <row r="195" spans="1:42" ht="77.25" x14ac:dyDescent="0.25">
      <c r="A195" s="4">
        <v>176</v>
      </c>
      <c r="B195" s="37" t="s">
        <v>912</v>
      </c>
      <c r="F195" s="5" t="s">
        <v>287</v>
      </c>
      <c r="G195" s="6" t="s">
        <v>288</v>
      </c>
      <c r="J195" s="36" t="s">
        <v>916</v>
      </c>
      <c r="K195" s="36" t="s">
        <v>915</v>
      </c>
      <c r="L195" s="36" t="s">
        <v>913</v>
      </c>
      <c r="M195" s="11" t="s">
        <v>914</v>
      </c>
      <c r="S195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195" s="12" t="str">
        <f t="shared" si="90"/>
        <v>VALUES('08801889','PROCHECK','Salaam@123','Y','N',sysdate,'016', 'C', 'Client', 'ab.kareemshah@gmail.com','01','B', '08', 'ABDUL', sysdate, '10.6.100.63', '08801889');</v>
      </c>
      <c r="U195" s="12" t="str">
        <f t="shared" si="89"/>
        <v>INSERT INTO sy_user_branches (USER_CD, BRANCH_CODE, CLASS_CODE, ENT_BY, ENT_DATE, ENT_BY_IP)</v>
      </c>
      <c r="V195" s="12" t="str">
        <f t="shared" si="91"/>
        <v>values('08801889','01', '08', 'ABDUL', sysdate, '10.6.100.63');</v>
      </c>
      <c r="W195" s="12" t="str">
        <f t="shared" si="52"/>
        <v>INSERT INTO sy_perm_list (USER_CD, OPT_CD, ACCESS_TYPE, BRANCH_CODE, CLASS_CODE, ENT_BY, ENT_DATE, ENT_BY_IP)</v>
      </c>
      <c r="X195" s="12" t="str">
        <f t="shared" si="97"/>
        <v>VALUES('08801889','ClaimComments.aspx', 'USER', '01', '08', 'ABDUL', SYSDATE, '10.6.100.63');</v>
      </c>
      <c r="Y195" s="12" t="str">
        <f t="shared" si="54"/>
        <v>INSERT INTO sy_perm_list (USER_CD, OPT_CD, ACCESS_TYPE, BRANCH_CODE, CLASS_CODE, ENT_BY, ENT_DATE, ENT_BY_IP)</v>
      </c>
      <c r="Z195" s="12" t="str">
        <f t="shared" si="92"/>
        <v>VALUES('08801889','ClaimDocs.aspx', 'USER', '01', '08', 'ABDUL', SYSDATE, '10.6.100.63');</v>
      </c>
      <c r="AA195" s="12" t="str">
        <f t="shared" si="56"/>
        <v>INSERT INTO sy_perm_list (USER_CD, OPT_CD, ACCESS_TYPE, BRANCH_CODE, CLASS_CODE, ENT_BY, ENT_DATE, ENT_BY_IP)</v>
      </c>
      <c r="AB195" s="12" t="str">
        <f t="shared" si="93"/>
        <v>VALUES('08801889','Client.aspx', 'USER', '01', '08', 'ABDUL', SYSDATE, '10.6.100.63');</v>
      </c>
      <c r="AC195" s="12" t="str">
        <f t="shared" si="58"/>
        <v>INSERT INTO sy_perm_list (USER_CD, OPT_CD, ACCESS_TYPE, BRANCH_CODE, CLASS_CODE, ENT_BY, ENT_DATE, ENT_BY_IP)</v>
      </c>
      <c r="AD195" s="12" t="str">
        <f t="shared" si="94"/>
        <v>VALUES('08801889','ClientReports.aspx', 'USER', '01', '08', 'ABDUL', SYSDATE, '10.6.100.63');</v>
      </c>
      <c r="AE195" s="12" t="str">
        <f t="shared" si="60"/>
        <v>INSERT INTO sy_perm_list (USER_CD, OPT_CD, ACCESS_TYPE, BRANCH_CODE, CLASS_CODE, ENT_BY, ENT_DATE, ENT_BY_IP)</v>
      </c>
      <c r="AF195" s="12" t="str">
        <f t="shared" si="95"/>
        <v>VALUES('08801889','ClientRequests.aspx', 'USER', '01', '08', 'ABDUL', SYSDATE, '10.6.100.63');</v>
      </c>
      <c r="AG195" s="12" t="str">
        <f t="shared" si="62"/>
        <v>INSERT INTO sy_perm_list (USER_CD, OPT_CD, ACCESS_TYPE, BRANCH_CODE, CLASS_CODE, ENT_BY, ENT_DATE, ENT_BY_IP)</v>
      </c>
      <c r="AH195" s="12" t="str">
        <f t="shared" si="96"/>
        <v>VALUES('08801889','HealthLife.aspx', 'USER', '01', '08', 'ABDUL', SYSDATE, '10.6.100.63');</v>
      </c>
      <c r="AI195" s="12" t="str">
        <f t="shared" si="64"/>
        <v>INSERT INTO sy_perm_list (USER_CD, OPT_CD, ACCESS_TYPE, BRANCH_CODE, CLASS_CODE, ENT_BY, ENT_DATE, ENT_BY_IP)</v>
      </c>
      <c r="AJ195" s="12" t="str">
        <f t="shared" si="76"/>
        <v>VALUES('08801889','IpdClaim.aspx', 'USER', '01', '08', 'ABDUL', SYSDATE, '10.6.100.63');</v>
      </c>
      <c r="AK195" s="12" t="str">
        <f t="shared" si="66"/>
        <v>INSERT INTO sy_perm_list (USER_CD, OPT_CD, ACCESS_TYPE, BRANCH_CODE, CLASS_CODE, ENT_BY, ENT_DATE, ENT_BY_IP)</v>
      </c>
      <c r="AL195" s="12" t="str">
        <f t="shared" si="77"/>
        <v>VALUES('08801889','OpdClaim.aspx', 'USER', '01', '08', 'ABDUL', SYSDATE, '10.6.100.63');</v>
      </c>
      <c r="AM195" s="12" t="str">
        <f t="shared" si="68"/>
        <v>INSERT INTO sy_perm_list (USER_CD, OPT_CD, ACCESS_TYPE, BRANCH_CODE, CLASS_CODE, ENT_BY, ENT_DATE, ENT_BY_IP)</v>
      </c>
      <c r="AN195" s="12" t="str">
        <f t="shared" si="78"/>
        <v>VALUES('08801889','RequestDetails.aspx', 'USER', '01', '08', 'ABDUL', SYSDATE, '10.6.100.63');</v>
      </c>
      <c r="AO195" s="12" t="str">
        <f t="shared" si="70"/>
        <v>INSERT INTO sy_perm_list (USER_CD, OPT_CD, ACCESS_TYPE, BRANCH_CODE, CLASS_CODE, ENT_BY, ENT_DATE, ENT_BY_IP)</v>
      </c>
      <c r="AP195" s="12" t="str">
        <f t="shared" si="79"/>
        <v>VALUES('08801889','TodaysRequest.aspx', 'USER', '01', '08', 'ABDUL', SYSDATE, '10.6.100.63');</v>
      </c>
    </row>
    <row r="196" spans="1:42" ht="77.25" x14ac:dyDescent="0.25">
      <c r="A196" s="4">
        <v>177</v>
      </c>
      <c r="B196" s="37" t="s">
        <v>918</v>
      </c>
      <c r="F196" s="5" t="s">
        <v>287</v>
      </c>
      <c r="G196" s="6" t="s">
        <v>288</v>
      </c>
      <c r="J196" s="36" t="s">
        <v>919</v>
      </c>
      <c r="K196" s="36" t="s">
        <v>920</v>
      </c>
      <c r="L196" s="36" t="s">
        <v>921</v>
      </c>
      <c r="M196" s="11" t="s">
        <v>922</v>
      </c>
      <c r="S196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196" s="12" t="str">
        <f>"VALUES('"&amp;B196&amp;"','"&amp;K196&amp;"','Salaam@123','Y','N',sysdate,'016', 'C', 'Client', '"&amp;M196&amp;"','01','B', '08', 'ABDUL', sysdate, '10.6.100.63', '"&amp;B196&amp;"');"</f>
        <v>VALUES('08802058','Reboot Technology','Salaam@123','Y','N',sysdate,'016', 'C', 'Client', 'kaziz@trafix.com','01','B', '08', 'ABDUL', sysdate, '10.6.100.63', '08802058');</v>
      </c>
      <c r="U196" s="12" t="str">
        <f t="shared" si="89"/>
        <v>INSERT INTO sy_user_branches (USER_CD, BRANCH_CODE, CLASS_CODE, ENT_BY, ENT_DATE, ENT_BY_IP)</v>
      </c>
      <c r="V196" s="12" t="str">
        <f t="shared" ref="V196:V236" si="99">"values('"&amp;B196&amp;"','01', '08', 'ABDUL', sysdate, '10.6.100.63');"</f>
        <v>values('08802058','01', '08', 'ABDUL', sysdate, '10.6.100.63');</v>
      </c>
      <c r="W196" s="12" t="str">
        <f t="shared" si="52"/>
        <v>INSERT INTO sy_perm_list (USER_CD, OPT_CD, ACCESS_TYPE, BRANCH_CODE, CLASS_CODE, ENT_BY, ENT_DATE, ENT_BY_IP)</v>
      </c>
      <c r="X196" s="12" t="str">
        <f t="shared" si="97"/>
        <v>VALUES('08802058','ClaimComments.aspx', 'USER', '01', '08', 'ABDUL', SYSDATE, '10.6.100.63');</v>
      </c>
      <c r="Y196" s="12" t="str">
        <f t="shared" si="54"/>
        <v>INSERT INTO sy_perm_list (USER_CD, OPT_CD, ACCESS_TYPE, BRANCH_CODE, CLASS_CODE, ENT_BY, ENT_DATE, ENT_BY_IP)</v>
      </c>
      <c r="Z196" s="12" t="str">
        <f t="shared" si="92"/>
        <v>VALUES('08802058','ClaimDocs.aspx', 'USER', '01', '08', 'ABDUL', SYSDATE, '10.6.100.63');</v>
      </c>
      <c r="AA196" s="12" t="str">
        <f t="shared" si="56"/>
        <v>INSERT INTO sy_perm_list (USER_CD, OPT_CD, ACCESS_TYPE, BRANCH_CODE, CLASS_CODE, ENT_BY, ENT_DATE, ENT_BY_IP)</v>
      </c>
      <c r="AB196" s="12" t="str">
        <f t="shared" si="93"/>
        <v>VALUES('08802058','Client.aspx', 'USER', '01', '08', 'ABDUL', SYSDATE, '10.6.100.63');</v>
      </c>
      <c r="AC196" s="12" t="str">
        <f t="shared" si="58"/>
        <v>INSERT INTO sy_perm_list (USER_CD, OPT_CD, ACCESS_TYPE, BRANCH_CODE, CLASS_CODE, ENT_BY, ENT_DATE, ENT_BY_IP)</v>
      </c>
      <c r="AD196" s="12" t="str">
        <f t="shared" si="94"/>
        <v>VALUES('08802058','ClientReports.aspx', 'USER', '01', '08', 'ABDUL', SYSDATE, '10.6.100.63');</v>
      </c>
      <c r="AE196" s="12" t="str">
        <f t="shared" si="60"/>
        <v>INSERT INTO sy_perm_list (USER_CD, OPT_CD, ACCESS_TYPE, BRANCH_CODE, CLASS_CODE, ENT_BY, ENT_DATE, ENT_BY_IP)</v>
      </c>
      <c r="AF196" s="12" t="str">
        <f t="shared" si="95"/>
        <v>VALUES('08802058','ClientRequests.aspx', 'USER', '01', '08', 'ABDUL', SYSDATE, '10.6.100.63');</v>
      </c>
      <c r="AG196" s="12" t="str">
        <f t="shared" si="62"/>
        <v>INSERT INTO sy_perm_list (USER_CD, OPT_CD, ACCESS_TYPE, BRANCH_CODE, CLASS_CODE, ENT_BY, ENT_DATE, ENT_BY_IP)</v>
      </c>
      <c r="AH196" s="12" t="str">
        <f t="shared" si="96"/>
        <v>VALUES('08802058','HealthLife.aspx', 'USER', '01', '08', 'ABDUL', SYSDATE, '10.6.100.63');</v>
      </c>
      <c r="AI196" s="12" t="str">
        <f t="shared" si="64"/>
        <v>INSERT INTO sy_perm_list (USER_CD, OPT_CD, ACCESS_TYPE, BRANCH_CODE, CLASS_CODE, ENT_BY, ENT_DATE, ENT_BY_IP)</v>
      </c>
      <c r="AJ196" s="12" t="str">
        <f t="shared" si="76"/>
        <v>VALUES('08802058','IpdClaim.aspx', 'USER', '01', '08', 'ABDUL', SYSDATE, '10.6.100.63');</v>
      </c>
      <c r="AK196" s="12" t="str">
        <f t="shared" si="66"/>
        <v>INSERT INTO sy_perm_list (USER_CD, OPT_CD, ACCESS_TYPE, BRANCH_CODE, CLASS_CODE, ENT_BY, ENT_DATE, ENT_BY_IP)</v>
      </c>
      <c r="AL196" s="12" t="str">
        <f t="shared" si="77"/>
        <v>VALUES('08802058','OpdClaim.aspx', 'USER', '01', '08', 'ABDUL', SYSDATE, '10.6.100.63');</v>
      </c>
      <c r="AM196" s="12" t="str">
        <f t="shared" si="68"/>
        <v>INSERT INTO sy_perm_list (USER_CD, OPT_CD, ACCESS_TYPE, BRANCH_CODE, CLASS_CODE, ENT_BY, ENT_DATE, ENT_BY_IP)</v>
      </c>
      <c r="AN196" s="12" t="str">
        <f t="shared" si="78"/>
        <v>VALUES('08802058','RequestDetails.aspx', 'USER', '01', '08', 'ABDUL', SYSDATE, '10.6.100.63');</v>
      </c>
      <c r="AO196" s="12" t="str">
        <f t="shared" si="70"/>
        <v>INSERT INTO sy_perm_list (USER_CD, OPT_CD, ACCESS_TYPE, BRANCH_CODE, CLASS_CODE, ENT_BY, ENT_DATE, ENT_BY_IP)</v>
      </c>
      <c r="AP196" s="12" t="str">
        <f t="shared" si="79"/>
        <v>VALUES('08802058','TodaysRequest.aspx', 'USER', '01', '08', 'ABDUL', SYSDATE, '10.6.100.63');</v>
      </c>
    </row>
    <row r="197" spans="1:42" ht="77.25" x14ac:dyDescent="0.25">
      <c r="A197" s="4">
        <v>178</v>
      </c>
      <c r="B197" s="36" t="s">
        <v>923</v>
      </c>
      <c r="F197" s="5" t="s">
        <v>924</v>
      </c>
      <c r="J197" t="s">
        <v>925</v>
      </c>
      <c r="K197" s="47" t="s">
        <v>926</v>
      </c>
      <c r="M197" s="48" t="s">
        <v>927</v>
      </c>
      <c r="S197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197" s="12" t="str">
        <f>"VALUES('"&amp;B197&amp;"','HEALTH TEST','Salaam@123','Y','N',sysdate,'016', 'C', 'Client', '"&amp;M197&amp;"','01','B', '08', 'ABDUL', sysdate, '10.6.100.63', '"&amp;K197&amp;"');"</f>
        <v>VALUES('HEALTHTEST','HEALTH TEST','Salaam@123','Y','N',sysdate,'016', 'C', 'Client', 'raheel.shaikh@salaamtakaful.com','01','B', '08', 'ABDUL', sysdate, '10.6.100.63', '08801720');</v>
      </c>
      <c r="U197" s="12" t="str">
        <f t="shared" si="89"/>
        <v>INSERT INTO sy_user_branches (USER_CD, BRANCH_CODE, CLASS_CODE, ENT_BY, ENT_DATE, ENT_BY_IP)</v>
      </c>
      <c r="V197" s="12" t="str">
        <f t="shared" si="99"/>
        <v>values('HEALTHTEST','01', '08', 'ABDUL', sysdate, '10.6.100.63');</v>
      </c>
      <c r="W197" s="12" t="str">
        <f t="shared" si="52"/>
        <v>INSERT INTO sy_perm_list (USER_CD, OPT_CD, ACCESS_TYPE, BRANCH_CODE, CLASS_CODE, ENT_BY, ENT_DATE, ENT_BY_IP)</v>
      </c>
      <c r="X197" s="12" t="str">
        <f t="shared" ref="X197:X236" si="100">"VALUES('"&amp;B197&amp;"','ClaimComments.aspx', 'USER', '01', '08', 'ABDUL', SYSDATE, '10.6.100.63');"</f>
        <v>VALUES('HEALTHTEST','ClaimComments.aspx', 'USER', '01', '08', 'ABDUL', SYSDATE, '10.6.100.63');</v>
      </c>
      <c r="Y197" s="12" t="str">
        <f t="shared" si="54"/>
        <v>INSERT INTO sy_perm_list (USER_CD, OPT_CD, ACCESS_TYPE, BRANCH_CODE, CLASS_CODE, ENT_BY, ENT_DATE, ENT_BY_IP)</v>
      </c>
      <c r="Z197" s="12" t="str">
        <f t="shared" si="92"/>
        <v>VALUES('HEALTHTEST','ClaimDocs.aspx', 'USER', '01', '08', 'ABDUL', SYSDATE, '10.6.100.63');</v>
      </c>
      <c r="AA197" s="12" t="str">
        <f t="shared" si="56"/>
        <v>INSERT INTO sy_perm_list (USER_CD, OPT_CD, ACCESS_TYPE, BRANCH_CODE, CLASS_CODE, ENT_BY, ENT_DATE, ENT_BY_IP)</v>
      </c>
      <c r="AB197" s="12" t="str">
        <f t="shared" si="93"/>
        <v>VALUES('HEALTHTEST','Client.aspx', 'USER', '01', '08', 'ABDUL', SYSDATE, '10.6.100.63');</v>
      </c>
      <c r="AC197" s="12" t="str">
        <f t="shared" si="58"/>
        <v>INSERT INTO sy_perm_list (USER_CD, OPT_CD, ACCESS_TYPE, BRANCH_CODE, CLASS_CODE, ENT_BY, ENT_DATE, ENT_BY_IP)</v>
      </c>
      <c r="AD197" s="12" t="str">
        <f t="shared" si="94"/>
        <v>VALUES('HEALTHTEST','ClientReports.aspx', 'USER', '01', '08', 'ABDUL', SYSDATE, '10.6.100.63');</v>
      </c>
      <c r="AE197" s="12" t="str">
        <f t="shared" si="60"/>
        <v>INSERT INTO sy_perm_list (USER_CD, OPT_CD, ACCESS_TYPE, BRANCH_CODE, CLASS_CODE, ENT_BY, ENT_DATE, ENT_BY_IP)</v>
      </c>
      <c r="AF197" s="12" t="str">
        <f t="shared" si="95"/>
        <v>VALUES('HEALTHTEST','ClientRequests.aspx', 'USER', '01', '08', 'ABDUL', SYSDATE, '10.6.100.63');</v>
      </c>
      <c r="AG197" s="12" t="str">
        <f t="shared" si="62"/>
        <v>INSERT INTO sy_perm_list (USER_CD, OPT_CD, ACCESS_TYPE, BRANCH_CODE, CLASS_CODE, ENT_BY, ENT_DATE, ENT_BY_IP)</v>
      </c>
      <c r="AH197" s="12" t="str">
        <f t="shared" si="96"/>
        <v>VALUES('HEALTHTEST','HealthLife.aspx', 'USER', '01', '08', 'ABDUL', SYSDATE, '10.6.100.63');</v>
      </c>
      <c r="AI197" s="12" t="str">
        <f t="shared" si="64"/>
        <v>INSERT INTO sy_perm_list (USER_CD, OPT_CD, ACCESS_TYPE, BRANCH_CODE, CLASS_CODE, ENT_BY, ENT_DATE, ENT_BY_IP)</v>
      </c>
      <c r="AJ197" s="12" t="str">
        <f t="shared" si="76"/>
        <v>VALUES('HEALTHTEST','IpdClaim.aspx', 'USER', '01', '08', 'ABDUL', SYSDATE, '10.6.100.63');</v>
      </c>
      <c r="AK197" s="12" t="str">
        <f t="shared" si="66"/>
        <v>INSERT INTO sy_perm_list (USER_CD, OPT_CD, ACCESS_TYPE, BRANCH_CODE, CLASS_CODE, ENT_BY, ENT_DATE, ENT_BY_IP)</v>
      </c>
      <c r="AL197" s="12" t="str">
        <f t="shared" si="77"/>
        <v>VALUES('HEALTHTEST','OpdClaim.aspx', 'USER', '01', '08', 'ABDUL', SYSDATE, '10.6.100.63');</v>
      </c>
      <c r="AM197" s="12" t="str">
        <f t="shared" si="68"/>
        <v>INSERT INTO sy_perm_list (USER_CD, OPT_CD, ACCESS_TYPE, BRANCH_CODE, CLASS_CODE, ENT_BY, ENT_DATE, ENT_BY_IP)</v>
      </c>
      <c r="AN197" s="12" t="str">
        <f t="shared" si="78"/>
        <v>VALUES('HEALTHTEST','RequestDetails.aspx', 'USER', '01', '08', 'ABDUL', SYSDATE, '10.6.100.63');</v>
      </c>
      <c r="AO197" s="12" t="str">
        <f t="shared" si="70"/>
        <v>INSERT INTO sy_perm_list (USER_CD, OPT_CD, ACCESS_TYPE, BRANCH_CODE, CLASS_CODE, ENT_BY, ENT_DATE, ENT_BY_IP)</v>
      </c>
      <c r="AP197" s="12" t="str">
        <f t="shared" si="79"/>
        <v>VALUES('HEALTHTEST','TodaysRequest.aspx', 'USER', '01', '08', 'ABDUL', SYSDATE, '10.6.100.63');</v>
      </c>
    </row>
    <row r="198" spans="1:42" ht="78" thickBot="1" x14ac:dyDescent="0.3">
      <c r="A198" s="4">
        <v>179</v>
      </c>
      <c r="B198" s="37" t="s">
        <v>928</v>
      </c>
      <c r="F198" s="5" t="s">
        <v>287</v>
      </c>
      <c r="G198" s="6" t="s">
        <v>288</v>
      </c>
      <c r="J198" s="36" t="s">
        <v>929</v>
      </c>
      <c r="K198" s="46" t="s">
        <v>930</v>
      </c>
      <c r="L198" s="49" t="s">
        <v>931</v>
      </c>
      <c r="M198" s="50" t="s">
        <v>932</v>
      </c>
      <c r="S198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198" s="12" t="str">
        <f>"VALUES('"&amp;B198&amp;"','"&amp;K198&amp;"','Salaam@123','Y','N',sysdate,'016', 'C', 'Client', '"&amp;M198&amp;"','01','B', '08', 'ABDUL', sysdate, '10.6.100.63', '"&amp;B198&amp;"');"</f>
        <v>VALUES('08802124','Pakistan International Freight Forwarders Association','Salaam@123','Y','N',sysdate,'016', 'C', 'Client', 'piffa-it@piffapk.com','01','B', '08', 'ABDUL', sysdate, '10.6.100.63', '08802124');</v>
      </c>
      <c r="U198" s="12" t="str">
        <f t="shared" si="89"/>
        <v>INSERT INTO sy_user_branches (USER_CD, BRANCH_CODE, CLASS_CODE, ENT_BY, ENT_DATE, ENT_BY_IP)</v>
      </c>
      <c r="V198" s="12" t="str">
        <f t="shared" si="99"/>
        <v>values('08802124','01', '08', 'ABDUL', sysdate, '10.6.100.63');</v>
      </c>
      <c r="W198" s="12" t="str">
        <f t="shared" si="52"/>
        <v>INSERT INTO sy_perm_list (USER_CD, OPT_CD, ACCESS_TYPE, BRANCH_CODE, CLASS_CODE, ENT_BY, ENT_DATE, ENT_BY_IP)</v>
      </c>
      <c r="X198" s="12" t="str">
        <f t="shared" si="100"/>
        <v>VALUES('08802124','ClaimComments.aspx', 'USER', '01', '08', 'ABDUL', SYSDATE, '10.6.100.63');</v>
      </c>
      <c r="Y198" s="12" t="str">
        <f t="shared" si="54"/>
        <v>INSERT INTO sy_perm_list (USER_CD, OPT_CD, ACCESS_TYPE, BRANCH_CODE, CLASS_CODE, ENT_BY, ENT_DATE, ENT_BY_IP)</v>
      </c>
      <c r="Z198" s="12" t="str">
        <f t="shared" si="92"/>
        <v>VALUES('08802124','ClaimDocs.aspx', 'USER', '01', '08', 'ABDUL', SYSDATE, '10.6.100.63');</v>
      </c>
      <c r="AA198" s="12" t="str">
        <f t="shared" si="56"/>
        <v>INSERT INTO sy_perm_list (USER_CD, OPT_CD, ACCESS_TYPE, BRANCH_CODE, CLASS_CODE, ENT_BY, ENT_DATE, ENT_BY_IP)</v>
      </c>
      <c r="AB198" s="12" t="str">
        <f t="shared" si="93"/>
        <v>VALUES('08802124','Client.aspx', 'USER', '01', '08', 'ABDUL', SYSDATE, '10.6.100.63');</v>
      </c>
      <c r="AC198" s="12" t="str">
        <f t="shared" si="58"/>
        <v>INSERT INTO sy_perm_list (USER_CD, OPT_CD, ACCESS_TYPE, BRANCH_CODE, CLASS_CODE, ENT_BY, ENT_DATE, ENT_BY_IP)</v>
      </c>
      <c r="AD198" s="12" t="str">
        <f t="shared" si="94"/>
        <v>VALUES('08802124','ClientReports.aspx', 'USER', '01', '08', 'ABDUL', SYSDATE, '10.6.100.63');</v>
      </c>
      <c r="AE198" s="12" t="str">
        <f t="shared" si="60"/>
        <v>INSERT INTO sy_perm_list (USER_CD, OPT_CD, ACCESS_TYPE, BRANCH_CODE, CLASS_CODE, ENT_BY, ENT_DATE, ENT_BY_IP)</v>
      </c>
      <c r="AF198" s="12" t="str">
        <f t="shared" si="95"/>
        <v>VALUES('08802124','ClientRequests.aspx', 'USER', '01', '08', 'ABDUL', SYSDATE, '10.6.100.63');</v>
      </c>
      <c r="AG198" s="12" t="str">
        <f t="shared" si="62"/>
        <v>INSERT INTO sy_perm_list (USER_CD, OPT_CD, ACCESS_TYPE, BRANCH_CODE, CLASS_CODE, ENT_BY, ENT_DATE, ENT_BY_IP)</v>
      </c>
      <c r="AH198" s="12" t="str">
        <f t="shared" si="96"/>
        <v>VALUES('08802124','HealthLife.aspx', 'USER', '01', '08', 'ABDUL', SYSDATE, '10.6.100.63');</v>
      </c>
      <c r="AI198" s="12" t="str">
        <f t="shared" si="64"/>
        <v>INSERT INTO sy_perm_list (USER_CD, OPT_CD, ACCESS_TYPE, BRANCH_CODE, CLASS_CODE, ENT_BY, ENT_DATE, ENT_BY_IP)</v>
      </c>
      <c r="AJ198" s="12" t="str">
        <f t="shared" si="76"/>
        <v>VALUES('08802124','IpdClaim.aspx', 'USER', '01', '08', 'ABDUL', SYSDATE, '10.6.100.63');</v>
      </c>
      <c r="AK198" s="12" t="str">
        <f t="shared" si="66"/>
        <v>INSERT INTO sy_perm_list (USER_CD, OPT_CD, ACCESS_TYPE, BRANCH_CODE, CLASS_CODE, ENT_BY, ENT_DATE, ENT_BY_IP)</v>
      </c>
      <c r="AL198" s="12" t="str">
        <f t="shared" si="77"/>
        <v>VALUES('08802124','OpdClaim.aspx', 'USER', '01', '08', 'ABDUL', SYSDATE, '10.6.100.63');</v>
      </c>
      <c r="AM198" s="12" t="str">
        <f t="shared" si="68"/>
        <v>INSERT INTO sy_perm_list (USER_CD, OPT_CD, ACCESS_TYPE, BRANCH_CODE, CLASS_CODE, ENT_BY, ENT_DATE, ENT_BY_IP)</v>
      </c>
      <c r="AN198" s="12" t="str">
        <f t="shared" si="78"/>
        <v>VALUES('08802124','RequestDetails.aspx', 'USER', '01', '08', 'ABDUL', SYSDATE, '10.6.100.63');</v>
      </c>
      <c r="AO198" s="12" t="str">
        <f t="shared" si="70"/>
        <v>INSERT INTO sy_perm_list (USER_CD, OPT_CD, ACCESS_TYPE, BRANCH_CODE, CLASS_CODE, ENT_BY, ENT_DATE, ENT_BY_IP)</v>
      </c>
      <c r="AP198" s="12" t="str">
        <f t="shared" si="79"/>
        <v>VALUES('08802124','TodaysRequest.aspx', 'USER', '01', '08', 'ABDUL', SYSDATE, '10.6.100.63');</v>
      </c>
    </row>
    <row r="199" spans="1:42" ht="78" thickBot="1" x14ac:dyDescent="0.3">
      <c r="A199" s="4">
        <v>180</v>
      </c>
      <c r="B199" s="37" t="s">
        <v>933</v>
      </c>
      <c r="F199" s="5" t="s">
        <v>287</v>
      </c>
      <c r="G199" s="6" t="s">
        <v>288</v>
      </c>
      <c r="J199" s="36" t="s">
        <v>935</v>
      </c>
      <c r="K199" s="36" t="s">
        <v>937</v>
      </c>
      <c r="L199" s="46" t="s">
        <v>939</v>
      </c>
      <c r="M199" s="42" t="s">
        <v>940</v>
      </c>
      <c r="S199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199" s="12" t="str">
        <f>"VALUES('"&amp;B199&amp;"','"&amp;K199&amp;"','Salaam@123','Y','N',sysdate,'016', 'C', 'Client', '"&amp;M199&amp;"','01','B', '08', 'ABDUL', sysdate, '10.6.100.63', '"&amp;B199&amp;"');"</f>
        <v>VALUES('08000089','BANKISLAMI PAKISTAN LTD.','Salaam@123','Y','N',sysdate,'016', 'C', 'Client', 'danish.mohiuddin@bankislami.com.pk','01','B', '08', 'ABDUL', sysdate, '10.6.100.63', '08000089');</v>
      </c>
      <c r="U199" s="12" t="str">
        <f t="shared" si="89"/>
        <v>INSERT INTO sy_user_branches (USER_CD, BRANCH_CODE, CLASS_CODE, ENT_BY, ENT_DATE, ENT_BY_IP)</v>
      </c>
      <c r="V199" s="12" t="str">
        <f t="shared" si="99"/>
        <v>values('08000089','01', '08', 'ABDUL', sysdate, '10.6.100.63');</v>
      </c>
      <c r="W199" s="12" t="str">
        <f t="shared" si="52"/>
        <v>INSERT INTO sy_perm_list (USER_CD, OPT_CD, ACCESS_TYPE, BRANCH_CODE, CLASS_CODE, ENT_BY, ENT_DATE, ENT_BY_IP)</v>
      </c>
      <c r="X199" s="12" t="str">
        <f t="shared" si="100"/>
        <v>VALUES('08000089','ClaimComments.aspx', 'USER', '01', '08', 'ABDUL', SYSDATE, '10.6.100.63');</v>
      </c>
      <c r="Y199" s="12" t="str">
        <f t="shared" si="54"/>
        <v>INSERT INTO sy_perm_list (USER_CD, OPT_CD, ACCESS_TYPE, BRANCH_CODE, CLASS_CODE, ENT_BY, ENT_DATE, ENT_BY_IP)</v>
      </c>
      <c r="Z199" s="12" t="str">
        <f t="shared" si="92"/>
        <v>VALUES('08000089','ClaimDocs.aspx', 'USER', '01', '08', 'ABDUL', SYSDATE, '10.6.100.63');</v>
      </c>
      <c r="AA199" s="12" t="str">
        <f t="shared" si="56"/>
        <v>INSERT INTO sy_perm_list (USER_CD, OPT_CD, ACCESS_TYPE, BRANCH_CODE, CLASS_CODE, ENT_BY, ENT_DATE, ENT_BY_IP)</v>
      </c>
      <c r="AB199" s="12" t="str">
        <f t="shared" si="93"/>
        <v>VALUES('08000089','Client.aspx', 'USER', '01', '08', 'ABDUL', SYSDATE, '10.6.100.63');</v>
      </c>
      <c r="AC199" s="12" t="str">
        <f t="shared" si="58"/>
        <v>INSERT INTO sy_perm_list (USER_CD, OPT_CD, ACCESS_TYPE, BRANCH_CODE, CLASS_CODE, ENT_BY, ENT_DATE, ENT_BY_IP)</v>
      </c>
      <c r="AD199" s="12" t="str">
        <f t="shared" si="94"/>
        <v>VALUES('08000089','ClientReports.aspx', 'USER', '01', '08', 'ABDUL', SYSDATE, '10.6.100.63');</v>
      </c>
      <c r="AE199" s="12" t="str">
        <f t="shared" si="60"/>
        <v>INSERT INTO sy_perm_list (USER_CD, OPT_CD, ACCESS_TYPE, BRANCH_CODE, CLASS_CODE, ENT_BY, ENT_DATE, ENT_BY_IP)</v>
      </c>
      <c r="AF199" s="12" t="str">
        <f t="shared" si="95"/>
        <v>VALUES('08000089','ClientRequests.aspx', 'USER', '01', '08', 'ABDUL', SYSDATE, '10.6.100.63');</v>
      </c>
      <c r="AG199" s="12" t="str">
        <f t="shared" si="62"/>
        <v>INSERT INTO sy_perm_list (USER_CD, OPT_CD, ACCESS_TYPE, BRANCH_CODE, CLASS_CODE, ENT_BY, ENT_DATE, ENT_BY_IP)</v>
      </c>
      <c r="AH199" s="12" t="str">
        <f t="shared" si="96"/>
        <v>VALUES('08000089','HealthLife.aspx', 'USER', '01', '08', 'ABDUL', SYSDATE, '10.6.100.63');</v>
      </c>
      <c r="AI199" s="12" t="str">
        <f t="shared" si="64"/>
        <v>INSERT INTO sy_perm_list (USER_CD, OPT_CD, ACCESS_TYPE, BRANCH_CODE, CLASS_CODE, ENT_BY, ENT_DATE, ENT_BY_IP)</v>
      </c>
      <c r="AJ199" s="12" t="str">
        <f t="shared" si="76"/>
        <v>VALUES('08000089','IpdClaim.aspx', 'USER', '01', '08', 'ABDUL', SYSDATE, '10.6.100.63');</v>
      </c>
      <c r="AK199" s="12" t="str">
        <f t="shared" si="66"/>
        <v>INSERT INTO sy_perm_list (USER_CD, OPT_CD, ACCESS_TYPE, BRANCH_CODE, CLASS_CODE, ENT_BY, ENT_DATE, ENT_BY_IP)</v>
      </c>
      <c r="AL199" s="12" t="str">
        <f t="shared" si="77"/>
        <v>VALUES('08000089','OpdClaim.aspx', 'USER', '01', '08', 'ABDUL', SYSDATE, '10.6.100.63');</v>
      </c>
      <c r="AM199" s="12" t="str">
        <f t="shared" si="68"/>
        <v>INSERT INTO sy_perm_list (USER_CD, OPT_CD, ACCESS_TYPE, BRANCH_CODE, CLASS_CODE, ENT_BY, ENT_DATE, ENT_BY_IP)</v>
      </c>
      <c r="AN199" s="12" t="str">
        <f t="shared" si="78"/>
        <v>VALUES('08000089','RequestDetails.aspx', 'USER', '01', '08', 'ABDUL', SYSDATE, '10.6.100.63');</v>
      </c>
      <c r="AO199" s="12" t="str">
        <f t="shared" si="70"/>
        <v>INSERT INTO sy_perm_list (USER_CD, OPT_CD, ACCESS_TYPE, BRANCH_CODE, CLASS_CODE, ENT_BY, ENT_DATE, ENT_BY_IP)</v>
      </c>
      <c r="AP199" s="12" t="str">
        <f t="shared" si="79"/>
        <v>VALUES('08000089','TodaysRequest.aspx', 'USER', '01', '08', 'ABDUL', SYSDATE, '10.6.100.63');</v>
      </c>
    </row>
    <row r="200" spans="1:42" ht="90.75" thickBot="1" x14ac:dyDescent="0.3">
      <c r="A200" s="4">
        <v>181</v>
      </c>
      <c r="B200" s="37" t="s">
        <v>934</v>
      </c>
      <c r="F200" s="5" t="s">
        <v>287</v>
      </c>
      <c r="G200" s="6" t="s">
        <v>288</v>
      </c>
      <c r="J200" s="36" t="s">
        <v>936</v>
      </c>
      <c r="K200" s="46" t="s">
        <v>938</v>
      </c>
      <c r="L200" s="46" t="s">
        <v>939</v>
      </c>
      <c r="M200" s="42" t="s">
        <v>940</v>
      </c>
      <c r="S200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0" s="12" t="str">
        <f>"VALUES('"&amp;B200&amp;"','"&amp;K200&amp;"','Salaam@123','Y','N',sysdate,'016', 'C', 'Client', '"&amp;M200&amp;"','01','B', '08', 'ABDUL', sysdate, '10.6.100.63', '"&amp;B199&amp;"');"</f>
        <v>VALUES('080000891','BANKISLAMI PAKISTAN LTD. (CONTRACTUAL)','Salaam@123','Y','N',sysdate,'016', 'C', 'Client', 'danish.mohiuddin@bankislami.com.pk','01','B', '08', 'ABDUL', sysdate, '10.6.100.63', '08000089');</v>
      </c>
      <c r="U200" s="12" t="str">
        <f t="shared" si="89"/>
        <v>INSERT INTO sy_user_branches (USER_CD, BRANCH_CODE, CLASS_CODE, ENT_BY, ENT_DATE, ENT_BY_IP)</v>
      </c>
      <c r="V200" s="12" t="str">
        <f t="shared" si="99"/>
        <v>values('080000891','01', '08', 'ABDUL', sysdate, '10.6.100.63');</v>
      </c>
      <c r="W200" s="12" t="str">
        <f t="shared" si="52"/>
        <v>INSERT INTO sy_perm_list (USER_CD, OPT_CD, ACCESS_TYPE, BRANCH_CODE, CLASS_CODE, ENT_BY, ENT_DATE, ENT_BY_IP)</v>
      </c>
      <c r="X200" s="12" t="str">
        <f t="shared" si="100"/>
        <v>VALUES('080000891','ClaimComments.aspx', 'USER', '01', '08', 'ABDUL', SYSDATE, '10.6.100.63');</v>
      </c>
      <c r="Y200" s="12" t="str">
        <f t="shared" si="54"/>
        <v>INSERT INTO sy_perm_list (USER_CD, OPT_CD, ACCESS_TYPE, BRANCH_CODE, CLASS_CODE, ENT_BY, ENT_DATE, ENT_BY_IP)</v>
      </c>
      <c r="Z200" s="12" t="str">
        <f t="shared" si="92"/>
        <v>VALUES('080000891','ClaimDocs.aspx', 'USER', '01', '08', 'ABDUL', SYSDATE, '10.6.100.63');</v>
      </c>
      <c r="AA200" s="12" t="str">
        <f t="shared" si="56"/>
        <v>INSERT INTO sy_perm_list (USER_CD, OPT_CD, ACCESS_TYPE, BRANCH_CODE, CLASS_CODE, ENT_BY, ENT_DATE, ENT_BY_IP)</v>
      </c>
      <c r="AB200" s="12" t="str">
        <f t="shared" si="93"/>
        <v>VALUES('080000891','Client.aspx', 'USER', '01', '08', 'ABDUL', SYSDATE, '10.6.100.63');</v>
      </c>
      <c r="AC200" s="12" t="str">
        <f t="shared" si="58"/>
        <v>INSERT INTO sy_perm_list (USER_CD, OPT_CD, ACCESS_TYPE, BRANCH_CODE, CLASS_CODE, ENT_BY, ENT_DATE, ENT_BY_IP)</v>
      </c>
      <c r="AD200" s="12" t="str">
        <f t="shared" si="94"/>
        <v>VALUES('080000891','ClientReports.aspx', 'USER', '01', '08', 'ABDUL', SYSDATE, '10.6.100.63');</v>
      </c>
      <c r="AE200" s="12" t="str">
        <f t="shared" si="60"/>
        <v>INSERT INTO sy_perm_list (USER_CD, OPT_CD, ACCESS_TYPE, BRANCH_CODE, CLASS_CODE, ENT_BY, ENT_DATE, ENT_BY_IP)</v>
      </c>
      <c r="AF200" s="12" t="str">
        <f t="shared" si="95"/>
        <v>VALUES('080000891','ClientRequests.aspx', 'USER', '01', '08', 'ABDUL', SYSDATE, '10.6.100.63');</v>
      </c>
      <c r="AG200" s="12" t="str">
        <f t="shared" si="62"/>
        <v>INSERT INTO sy_perm_list (USER_CD, OPT_CD, ACCESS_TYPE, BRANCH_CODE, CLASS_CODE, ENT_BY, ENT_DATE, ENT_BY_IP)</v>
      </c>
      <c r="AH200" s="12" t="str">
        <f t="shared" si="96"/>
        <v>VALUES('080000891','HealthLife.aspx', 'USER', '01', '08', 'ABDUL', SYSDATE, '10.6.100.63');</v>
      </c>
      <c r="AI200" s="12" t="str">
        <f t="shared" si="64"/>
        <v>INSERT INTO sy_perm_list (USER_CD, OPT_CD, ACCESS_TYPE, BRANCH_CODE, CLASS_CODE, ENT_BY, ENT_DATE, ENT_BY_IP)</v>
      </c>
      <c r="AJ200" s="12" t="str">
        <f t="shared" si="76"/>
        <v>VALUES('080000891','IpdClaim.aspx', 'USER', '01', '08', 'ABDUL', SYSDATE, '10.6.100.63');</v>
      </c>
      <c r="AK200" s="12" t="str">
        <f t="shared" si="66"/>
        <v>INSERT INTO sy_perm_list (USER_CD, OPT_CD, ACCESS_TYPE, BRANCH_CODE, CLASS_CODE, ENT_BY, ENT_DATE, ENT_BY_IP)</v>
      </c>
      <c r="AL200" s="12" t="str">
        <f t="shared" si="77"/>
        <v>VALUES('080000891','OpdClaim.aspx', 'USER', '01', '08', 'ABDUL', SYSDATE, '10.6.100.63');</v>
      </c>
      <c r="AM200" s="12" t="str">
        <f t="shared" si="68"/>
        <v>INSERT INTO sy_perm_list (USER_CD, OPT_CD, ACCESS_TYPE, BRANCH_CODE, CLASS_CODE, ENT_BY, ENT_DATE, ENT_BY_IP)</v>
      </c>
      <c r="AN200" s="12" t="str">
        <f t="shared" si="78"/>
        <v>VALUES('080000891','RequestDetails.aspx', 'USER', '01', '08', 'ABDUL', SYSDATE, '10.6.100.63');</v>
      </c>
      <c r="AO200" s="12" t="str">
        <f t="shared" si="70"/>
        <v>INSERT INTO sy_perm_list (USER_CD, OPT_CD, ACCESS_TYPE, BRANCH_CODE, CLASS_CODE, ENT_BY, ENT_DATE, ENT_BY_IP)</v>
      </c>
      <c r="AP200" s="12" t="str">
        <f t="shared" si="79"/>
        <v>VALUES('080000891','TodaysRequest.aspx', 'USER', '01', '08', 'ABDUL', SYSDATE, '10.6.100.63');</v>
      </c>
    </row>
    <row r="201" spans="1:42" ht="76.5" x14ac:dyDescent="0.2">
      <c r="A201" s="4">
        <v>182</v>
      </c>
      <c r="B201" s="41" t="s">
        <v>941</v>
      </c>
      <c r="F201" s="5" t="s">
        <v>287</v>
      </c>
      <c r="G201" s="6" t="s">
        <v>288</v>
      </c>
      <c r="J201" s="39" t="s">
        <v>942</v>
      </c>
      <c r="K201" s="39" t="s">
        <v>943</v>
      </c>
      <c r="L201" s="39" t="s">
        <v>944</v>
      </c>
      <c r="M201" s="11" t="s">
        <v>945</v>
      </c>
      <c r="S201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1" s="12" t="str">
        <f>"VALUES('"&amp;B201&amp;"','"&amp;K201&amp;"','Salaam@123','Y','N',sysdate,'016', 'C', 'Client', '"&amp;M201&amp;"','01','B', '08', 'ABDUL', sysdate, '10.6.100.63', '"&amp;B201&amp;"');"</f>
        <v>VALUES('08802217','Take 4 Media','Salaam@123','Y','N',sysdate,'016', 'C', 'Client', 'sierratextiles@gmail.com','01','B', '08', 'ABDUL', sysdate, '10.6.100.63', '08802217');</v>
      </c>
      <c r="U201" s="12" t="str">
        <f t="shared" si="89"/>
        <v>INSERT INTO sy_user_branches (USER_CD, BRANCH_CODE, CLASS_CODE, ENT_BY, ENT_DATE, ENT_BY_IP)</v>
      </c>
      <c r="V201" s="12" t="str">
        <f t="shared" si="99"/>
        <v>values('08802217','01', '08', 'ABDUL', sysdate, '10.6.100.63');</v>
      </c>
      <c r="W201" s="12" t="str">
        <f t="shared" si="52"/>
        <v>INSERT INTO sy_perm_list (USER_CD, OPT_CD, ACCESS_TYPE, BRANCH_CODE, CLASS_CODE, ENT_BY, ENT_DATE, ENT_BY_IP)</v>
      </c>
      <c r="X201" s="12" t="str">
        <f t="shared" si="100"/>
        <v>VALUES('08802217','ClaimComments.aspx', 'USER', '01', '08', 'ABDUL', SYSDATE, '10.6.100.63');</v>
      </c>
      <c r="Y201" s="12" t="str">
        <f t="shared" si="54"/>
        <v>INSERT INTO sy_perm_list (USER_CD, OPT_CD, ACCESS_TYPE, BRANCH_CODE, CLASS_CODE, ENT_BY, ENT_DATE, ENT_BY_IP)</v>
      </c>
      <c r="Z201" s="12" t="str">
        <f t="shared" si="92"/>
        <v>VALUES('08802217','ClaimDocs.aspx', 'USER', '01', '08', 'ABDUL', SYSDATE, '10.6.100.63');</v>
      </c>
      <c r="AA201" s="12" t="str">
        <f t="shared" si="56"/>
        <v>INSERT INTO sy_perm_list (USER_CD, OPT_CD, ACCESS_TYPE, BRANCH_CODE, CLASS_CODE, ENT_BY, ENT_DATE, ENT_BY_IP)</v>
      </c>
      <c r="AB201" s="12" t="str">
        <f t="shared" si="93"/>
        <v>VALUES('08802217','Client.aspx', 'USER', '01', '08', 'ABDUL', SYSDATE, '10.6.100.63');</v>
      </c>
      <c r="AC201" s="12" t="str">
        <f t="shared" si="58"/>
        <v>INSERT INTO sy_perm_list (USER_CD, OPT_CD, ACCESS_TYPE, BRANCH_CODE, CLASS_CODE, ENT_BY, ENT_DATE, ENT_BY_IP)</v>
      </c>
      <c r="AD201" s="12" t="str">
        <f t="shared" si="94"/>
        <v>VALUES('08802217','ClientReports.aspx', 'USER', '01', '08', 'ABDUL', SYSDATE, '10.6.100.63');</v>
      </c>
      <c r="AE201" s="12" t="str">
        <f t="shared" si="60"/>
        <v>INSERT INTO sy_perm_list (USER_CD, OPT_CD, ACCESS_TYPE, BRANCH_CODE, CLASS_CODE, ENT_BY, ENT_DATE, ENT_BY_IP)</v>
      </c>
      <c r="AF201" s="12" t="str">
        <f t="shared" si="95"/>
        <v>VALUES('08802217','ClientRequests.aspx', 'USER', '01', '08', 'ABDUL', SYSDATE, '10.6.100.63');</v>
      </c>
      <c r="AG201" s="12" t="str">
        <f t="shared" si="62"/>
        <v>INSERT INTO sy_perm_list (USER_CD, OPT_CD, ACCESS_TYPE, BRANCH_CODE, CLASS_CODE, ENT_BY, ENT_DATE, ENT_BY_IP)</v>
      </c>
      <c r="AH201" s="12" t="str">
        <f t="shared" si="96"/>
        <v>VALUES('08802217','HealthLife.aspx', 'USER', '01', '08', 'ABDUL', SYSDATE, '10.6.100.63');</v>
      </c>
      <c r="AI201" s="12" t="str">
        <f t="shared" si="64"/>
        <v>INSERT INTO sy_perm_list (USER_CD, OPT_CD, ACCESS_TYPE, BRANCH_CODE, CLASS_CODE, ENT_BY, ENT_DATE, ENT_BY_IP)</v>
      </c>
      <c r="AJ201" s="12" t="str">
        <f t="shared" si="76"/>
        <v>VALUES('08802217','IpdClaim.aspx', 'USER', '01', '08', 'ABDUL', SYSDATE, '10.6.100.63');</v>
      </c>
      <c r="AK201" s="12" t="str">
        <f t="shared" si="66"/>
        <v>INSERT INTO sy_perm_list (USER_CD, OPT_CD, ACCESS_TYPE, BRANCH_CODE, CLASS_CODE, ENT_BY, ENT_DATE, ENT_BY_IP)</v>
      </c>
      <c r="AL201" s="12" t="str">
        <f t="shared" si="77"/>
        <v>VALUES('08802217','OpdClaim.aspx', 'USER', '01', '08', 'ABDUL', SYSDATE, '10.6.100.63');</v>
      </c>
      <c r="AM201" s="12" t="str">
        <f t="shared" si="68"/>
        <v>INSERT INTO sy_perm_list (USER_CD, OPT_CD, ACCESS_TYPE, BRANCH_CODE, CLASS_CODE, ENT_BY, ENT_DATE, ENT_BY_IP)</v>
      </c>
      <c r="AN201" s="12" t="str">
        <f t="shared" si="78"/>
        <v>VALUES('08802217','RequestDetails.aspx', 'USER', '01', '08', 'ABDUL', SYSDATE, '10.6.100.63');</v>
      </c>
      <c r="AO201" s="12" t="str">
        <f t="shared" si="70"/>
        <v>INSERT INTO sy_perm_list (USER_CD, OPT_CD, ACCESS_TYPE, BRANCH_CODE, CLASS_CODE, ENT_BY, ENT_DATE, ENT_BY_IP)</v>
      </c>
      <c r="AP201" s="12" t="str">
        <f t="shared" si="79"/>
        <v>VALUES('08802217','TodaysRequest.aspx', 'USER', '01', '08', 'ABDUL', SYSDATE, '10.6.100.63');</v>
      </c>
    </row>
    <row r="202" spans="1:42" ht="76.5" x14ac:dyDescent="0.2">
      <c r="A202" s="4">
        <v>183</v>
      </c>
      <c r="B202" s="41" t="s">
        <v>946</v>
      </c>
      <c r="F202" s="5" t="s">
        <v>287</v>
      </c>
      <c r="G202" s="6" t="s">
        <v>288</v>
      </c>
      <c r="J202" s="39" t="s">
        <v>948</v>
      </c>
      <c r="K202" s="39" t="s">
        <v>947</v>
      </c>
      <c r="L202" s="39" t="s">
        <v>944</v>
      </c>
      <c r="M202" s="11" t="s">
        <v>945</v>
      </c>
      <c r="S202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2" s="12" t="str">
        <f>"VALUES('"&amp;B202&amp;"','"&amp;K202&amp;"','Salaam@123','Y','N',sysdate,'016', 'C', 'Client', '"&amp;M202&amp;"','01','B', '08', 'ABDUL', sysdate, '10.6.100.63', '"&amp;B202&amp;"');"</f>
        <v>VALUES('08802216','Sierra Textiles &amp; Fabrics (Private) Limited','Salaam@123','Y','N',sysdate,'016', 'C', 'Client', 'sierratextiles@gmail.com','01','B', '08', 'ABDUL', sysdate, '10.6.100.63', '08802216');</v>
      </c>
      <c r="U202" s="12" t="str">
        <f t="shared" si="89"/>
        <v>INSERT INTO sy_user_branches (USER_CD, BRANCH_CODE, CLASS_CODE, ENT_BY, ENT_DATE, ENT_BY_IP)</v>
      </c>
      <c r="V202" s="12" t="str">
        <f t="shared" si="99"/>
        <v>values('08802216','01', '08', 'ABDUL', sysdate, '10.6.100.63');</v>
      </c>
      <c r="W202" s="12" t="str">
        <f t="shared" si="52"/>
        <v>INSERT INTO sy_perm_list (USER_CD, OPT_CD, ACCESS_TYPE, BRANCH_CODE, CLASS_CODE, ENT_BY, ENT_DATE, ENT_BY_IP)</v>
      </c>
      <c r="X202" s="12" t="str">
        <f t="shared" si="100"/>
        <v>VALUES('08802216','ClaimComments.aspx', 'USER', '01', '08', 'ABDUL', SYSDATE, '10.6.100.63');</v>
      </c>
      <c r="Y202" s="12" t="str">
        <f t="shared" si="54"/>
        <v>INSERT INTO sy_perm_list (USER_CD, OPT_CD, ACCESS_TYPE, BRANCH_CODE, CLASS_CODE, ENT_BY, ENT_DATE, ENT_BY_IP)</v>
      </c>
      <c r="Z202" s="12" t="str">
        <f t="shared" si="92"/>
        <v>VALUES('08802216','ClaimDocs.aspx', 'USER', '01', '08', 'ABDUL', SYSDATE, '10.6.100.63');</v>
      </c>
      <c r="AA202" s="12" t="str">
        <f t="shared" si="56"/>
        <v>INSERT INTO sy_perm_list (USER_CD, OPT_CD, ACCESS_TYPE, BRANCH_CODE, CLASS_CODE, ENT_BY, ENT_DATE, ENT_BY_IP)</v>
      </c>
      <c r="AB202" s="12" t="str">
        <f t="shared" si="93"/>
        <v>VALUES('08802216','Client.aspx', 'USER', '01', '08', 'ABDUL', SYSDATE, '10.6.100.63');</v>
      </c>
      <c r="AC202" s="12" t="str">
        <f t="shared" si="58"/>
        <v>INSERT INTO sy_perm_list (USER_CD, OPT_CD, ACCESS_TYPE, BRANCH_CODE, CLASS_CODE, ENT_BY, ENT_DATE, ENT_BY_IP)</v>
      </c>
      <c r="AD202" s="12" t="str">
        <f t="shared" si="94"/>
        <v>VALUES('08802216','ClientReports.aspx', 'USER', '01', '08', 'ABDUL', SYSDATE, '10.6.100.63');</v>
      </c>
      <c r="AE202" s="12" t="str">
        <f t="shared" si="60"/>
        <v>INSERT INTO sy_perm_list (USER_CD, OPT_CD, ACCESS_TYPE, BRANCH_CODE, CLASS_CODE, ENT_BY, ENT_DATE, ENT_BY_IP)</v>
      </c>
      <c r="AF202" s="12" t="str">
        <f t="shared" si="95"/>
        <v>VALUES('08802216','ClientRequests.aspx', 'USER', '01', '08', 'ABDUL', SYSDATE, '10.6.100.63');</v>
      </c>
      <c r="AG202" s="12" t="str">
        <f t="shared" si="62"/>
        <v>INSERT INTO sy_perm_list (USER_CD, OPT_CD, ACCESS_TYPE, BRANCH_CODE, CLASS_CODE, ENT_BY, ENT_DATE, ENT_BY_IP)</v>
      </c>
      <c r="AH202" s="12" t="str">
        <f t="shared" si="96"/>
        <v>VALUES('08802216','HealthLife.aspx', 'USER', '01', '08', 'ABDUL', SYSDATE, '10.6.100.63');</v>
      </c>
      <c r="AI202" s="12" t="str">
        <f t="shared" si="64"/>
        <v>INSERT INTO sy_perm_list (USER_CD, OPT_CD, ACCESS_TYPE, BRANCH_CODE, CLASS_CODE, ENT_BY, ENT_DATE, ENT_BY_IP)</v>
      </c>
      <c r="AJ202" s="12" t="str">
        <f t="shared" si="76"/>
        <v>VALUES('08802216','IpdClaim.aspx', 'USER', '01', '08', 'ABDUL', SYSDATE, '10.6.100.63');</v>
      </c>
      <c r="AK202" s="12" t="str">
        <f t="shared" si="66"/>
        <v>INSERT INTO sy_perm_list (USER_CD, OPT_CD, ACCESS_TYPE, BRANCH_CODE, CLASS_CODE, ENT_BY, ENT_DATE, ENT_BY_IP)</v>
      </c>
      <c r="AL202" s="12" t="str">
        <f t="shared" si="77"/>
        <v>VALUES('08802216','OpdClaim.aspx', 'USER', '01', '08', 'ABDUL', SYSDATE, '10.6.100.63');</v>
      </c>
      <c r="AM202" s="12" t="str">
        <f t="shared" si="68"/>
        <v>INSERT INTO sy_perm_list (USER_CD, OPT_CD, ACCESS_TYPE, BRANCH_CODE, CLASS_CODE, ENT_BY, ENT_DATE, ENT_BY_IP)</v>
      </c>
      <c r="AN202" s="12" t="str">
        <f t="shared" si="78"/>
        <v>VALUES('08802216','RequestDetails.aspx', 'USER', '01', '08', 'ABDUL', SYSDATE, '10.6.100.63');</v>
      </c>
      <c r="AO202" s="12" t="str">
        <f t="shared" si="70"/>
        <v>INSERT INTO sy_perm_list (USER_CD, OPT_CD, ACCESS_TYPE, BRANCH_CODE, CLASS_CODE, ENT_BY, ENT_DATE, ENT_BY_IP)</v>
      </c>
      <c r="AP202" s="12" t="str">
        <f t="shared" si="79"/>
        <v>VALUES('08802216','TodaysRequest.aspx', 'USER', '01', '08', 'ABDUL', SYSDATE, '10.6.100.63');</v>
      </c>
    </row>
    <row r="203" spans="1:42" ht="76.5" x14ac:dyDescent="0.2">
      <c r="A203" s="4">
        <v>184</v>
      </c>
      <c r="B203" s="41" t="s">
        <v>949</v>
      </c>
      <c r="F203" s="5" t="s">
        <v>287</v>
      </c>
      <c r="G203" s="6" t="s">
        <v>288</v>
      </c>
      <c r="J203" s="39" t="s">
        <v>951</v>
      </c>
      <c r="K203" s="39" t="s">
        <v>950</v>
      </c>
      <c r="L203" s="39" t="s">
        <v>952</v>
      </c>
      <c r="M203" s="11" t="s">
        <v>953</v>
      </c>
      <c r="S203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3" s="12" t="str">
        <f>"VALUES('"&amp;B203&amp;"','"&amp;K203&amp;"','Salaam@123','Y','N',sysdate,'016', 'C', 'Client', '"&amp;M203&amp;"','01','B', '08', 'ABDUL', sysdate, '10.6.100.63', '"&amp;B203&amp;"');"</f>
        <v>VALUES('08002595','Cirrus International (Pvt.) Ltd','Salaam@123','Y','N',sysdate,'016', 'C', 'Client', 'farid.khan@cirrus-intl.com','01','B', '08', 'ABDUL', sysdate, '10.6.100.63', '08002595');</v>
      </c>
      <c r="U203" s="12" t="str">
        <f t="shared" si="89"/>
        <v>INSERT INTO sy_user_branches (USER_CD, BRANCH_CODE, CLASS_CODE, ENT_BY, ENT_DATE, ENT_BY_IP)</v>
      </c>
      <c r="V203" s="12" t="str">
        <f t="shared" si="99"/>
        <v>values('08002595','01', '08', 'ABDUL', sysdate, '10.6.100.63');</v>
      </c>
      <c r="W203" s="12" t="str">
        <f t="shared" si="52"/>
        <v>INSERT INTO sy_perm_list (USER_CD, OPT_CD, ACCESS_TYPE, BRANCH_CODE, CLASS_CODE, ENT_BY, ENT_DATE, ENT_BY_IP)</v>
      </c>
      <c r="X203" s="12" t="str">
        <f t="shared" si="100"/>
        <v>VALUES('08002595','ClaimComments.aspx', 'USER', '01', '08', 'ABDUL', SYSDATE, '10.6.100.63');</v>
      </c>
      <c r="Y203" s="12" t="str">
        <f t="shared" si="54"/>
        <v>INSERT INTO sy_perm_list (USER_CD, OPT_CD, ACCESS_TYPE, BRANCH_CODE, CLASS_CODE, ENT_BY, ENT_DATE, ENT_BY_IP)</v>
      </c>
      <c r="Z203" s="12" t="str">
        <f t="shared" si="92"/>
        <v>VALUES('08002595','ClaimDocs.aspx', 'USER', '01', '08', 'ABDUL', SYSDATE, '10.6.100.63');</v>
      </c>
      <c r="AA203" s="12" t="str">
        <f t="shared" si="56"/>
        <v>INSERT INTO sy_perm_list (USER_CD, OPT_CD, ACCESS_TYPE, BRANCH_CODE, CLASS_CODE, ENT_BY, ENT_DATE, ENT_BY_IP)</v>
      </c>
      <c r="AB203" s="12" t="str">
        <f t="shared" si="93"/>
        <v>VALUES('08002595','Client.aspx', 'USER', '01', '08', 'ABDUL', SYSDATE, '10.6.100.63');</v>
      </c>
      <c r="AC203" s="12" t="str">
        <f t="shared" si="58"/>
        <v>INSERT INTO sy_perm_list (USER_CD, OPT_CD, ACCESS_TYPE, BRANCH_CODE, CLASS_CODE, ENT_BY, ENT_DATE, ENT_BY_IP)</v>
      </c>
      <c r="AD203" s="12" t="str">
        <f t="shared" si="94"/>
        <v>VALUES('08002595','ClientReports.aspx', 'USER', '01', '08', 'ABDUL', SYSDATE, '10.6.100.63');</v>
      </c>
      <c r="AE203" s="12" t="str">
        <f t="shared" si="60"/>
        <v>INSERT INTO sy_perm_list (USER_CD, OPT_CD, ACCESS_TYPE, BRANCH_CODE, CLASS_CODE, ENT_BY, ENT_DATE, ENT_BY_IP)</v>
      </c>
      <c r="AF203" s="12" t="str">
        <f t="shared" si="95"/>
        <v>VALUES('08002595','ClientRequests.aspx', 'USER', '01', '08', 'ABDUL', SYSDATE, '10.6.100.63');</v>
      </c>
      <c r="AG203" s="12" t="str">
        <f t="shared" si="62"/>
        <v>INSERT INTO sy_perm_list (USER_CD, OPT_CD, ACCESS_TYPE, BRANCH_CODE, CLASS_CODE, ENT_BY, ENT_DATE, ENT_BY_IP)</v>
      </c>
      <c r="AH203" s="12" t="str">
        <f t="shared" si="96"/>
        <v>VALUES('08002595','HealthLife.aspx', 'USER', '01', '08', 'ABDUL', SYSDATE, '10.6.100.63');</v>
      </c>
      <c r="AI203" s="12" t="str">
        <f t="shared" si="64"/>
        <v>INSERT INTO sy_perm_list (USER_CD, OPT_CD, ACCESS_TYPE, BRANCH_CODE, CLASS_CODE, ENT_BY, ENT_DATE, ENT_BY_IP)</v>
      </c>
      <c r="AJ203" s="12" t="str">
        <f t="shared" si="76"/>
        <v>VALUES('08002595','IpdClaim.aspx', 'USER', '01', '08', 'ABDUL', SYSDATE, '10.6.100.63');</v>
      </c>
      <c r="AK203" s="12" t="str">
        <f t="shared" si="66"/>
        <v>INSERT INTO sy_perm_list (USER_CD, OPT_CD, ACCESS_TYPE, BRANCH_CODE, CLASS_CODE, ENT_BY, ENT_DATE, ENT_BY_IP)</v>
      </c>
      <c r="AL203" s="12" t="str">
        <f t="shared" si="77"/>
        <v>VALUES('08002595','OpdClaim.aspx', 'USER', '01', '08', 'ABDUL', SYSDATE, '10.6.100.63');</v>
      </c>
      <c r="AM203" s="12" t="str">
        <f t="shared" si="68"/>
        <v>INSERT INTO sy_perm_list (USER_CD, OPT_CD, ACCESS_TYPE, BRANCH_CODE, CLASS_CODE, ENT_BY, ENT_DATE, ENT_BY_IP)</v>
      </c>
      <c r="AN203" s="12" t="str">
        <f t="shared" si="78"/>
        <v>VALUES('08002595','RequestDetails.aspx', 'USER', '01', '08', 'ABDUL', SYSDATE, '10.6.100.63');</v>
      </c>
      <c r="AO203" s="12" t="str">
        <f t="shared" si="70"/>
        <v>INSERT INTO sy_perm_list (USER_CD, OPT_CD, ACCESS_TYPE, BRANCH_CODE, CLASS_CODE, ENT_BY, ENT_DATE, ENT_BY_IP)</v>
      </c>
      <c r="AP203" s="12" t="str">
        <f t="shared" si="79"/>
        <v>VALUES('08002595','TodaysRequest.aspx', 'USER', '01', '08', 'ABDUL', SYSDATE, '10.6.100.63');</v>
      </c>
    </row>
    <row r="204" spans="1:42" ht="77.25" x14ac:dyDescent="0.25">
      <c r="A204" s="4">
        <v>185</v>
      </c>
      <c r="B204" s="37" t="s">
        <v>954</v>
      </c>
      <c r="F204" s="5" t="s">
        <v>287</v>
      </c>
      <c r="G204" s="6" t="s">
        <v>288</v>
      </c>
      <c r="J204" s="36" t="s">
        <v>955</v>
      </c>
      <c r="K204" s="36" t="s">
        <v>956</v>
      </c>
      <c r="L204" s="36" t="s">
        <v>957</v>
      </c>
      <c r="M204" s="11" t="s">
        <v>958</v>
      </c>
      <c r="S204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4" s="12" t="str">
        <f>"VALUES('"&amp;B204&amp;"','"&amp;K204&amp;"','Salaam@123','Y','N',sysdate,'016', 'C', 'Client', '"&amp;M204&amp;"','01','B', '08', 'ABDUL', sysdate, '10.6.100.63', '"&amp;B204&amp;"');"</f>
        <v>VALUES('08802204','ZAVIA Architecture','Salaam@123','Y','N',sysdate,'016', 'C', 'Client', 'finance@zavia.com.pk','01','B', '08', 'ABDUL', sysdate, '10.6.100.63', '08802204');</v>
      </c>
      <c r="U204" s="12" t="str">
        <f t="shared" si="89"/>
        <v>INSERT INTO sy_user_branches (USER_CD, BRANCH_CODE, CLASS_CODE, ENT_BY, ENT_DATE, ENT_BY_IP)</v>
      </c>
      <c r="V204" s="12" t="str">
        <f t="shared" si="99"/>
        <v>values('08802204','01', '08', 'ABDUL', sysdate, '10.6.100.63');</v>
      </c>
      <c r="W204" s="12" t="str">
        <f t="shared" si="52"/>
        <v>INSERT INTO sy_perm_list (USER_CD, OPT_CD, ACCESS_TYPE, BRANCH_CODE, CLASS_CODE, ENT_BY, ENT_DATE, ENT_BY_IP)</v>
      </c>
      <c r="X204" s="12" t="str">
        <f t="shared" si="100"/>
        <v>VALUES('08802204','ClaimComments.aspx', 'USER', '01', '08', 'ABDUL', SYSDATE, '10.6.100.63');</v>
      </c>
      <c r="Y204" s="12" t="str">
        <f t="shared" si="54"/>
        <v>INSERT INTO sy_perm_list (USER_CD, OPT_CD, ACCESS_TYPE, BRANCH_CODE, CLASS_CODE, ENT_BY, ENT_DATE, ENT_BY_IP)</v>
      </c>
      <c r="Z204" s="12" t="str">
        <f t="shared" si="92"/>
        <v>VALUES('08802204','ClaimDocs.aspx', 'USER', '01', '08', 'ABDUL', SYSDATE, '10.6.100.63');</v>
      </c>
      <c r="AA204" s="12" t="str">
        <f t="shared" si="56"/>
        <v>INSERT INTO sy_perm_list (USER_CD, OPT_CD, ACCESS_TYPE, BRANCH_CODE, CLASS_CODE, ENT_BY, ENT_DATE, ENT_BY_IP)</v>
      </c>
      <c r="AB204" s="12" t="str">
        <f t="shared" si="93"/>
        <v>VALUES('08802204','Client.aspx', 'USER', '01', '08', 'ABDUL', SYSDATE, '10.6.100.63');</v>
      </c>
      <c r="AC204" s="12" t="str">
        <f t="shared" si="58"/>
        <v>INSERT INTO sy_perm_list (USER_CD, OPT_CD, ACCESS_TYPE, BRANCH_CODE, CLASS_CODE, ENT_BY, ENT_DATE, ENT_BY_IP)</v>
      </c>
      <c r="AD204" s="12" t="str">
        <f t="shared" si="94"/>
        <v>VALUES('08802204','ClientReports.aspx', 'USER', '01', '08', 'ABDUL', SYSDATE, '10.6.100.63');</v>
      </c>
      <c r="AE204" s="12" t="str">
        <f t="shared" si="60"/>
        <v>INSERT INTO sy_perm_list (USER_CD, OPT_CD, ACCESS_TYPE, BRANCH_CODE, CLASS_CODE, ENT_BY, ENT_DATE, ENT_BY_IP)</v>
      </c>
      <c r="AF204" s="12" t="str">
        <f t="shared" si="95"/>
        <v>VALUES('08802204','ClientRequests.aspx', 'USER', '01', '08', 'ABDUL', SYSDATE, '10.6.100.63');</v>
      </c>
      <c r="AG204" s="12" t="str">
        <f t="shared" si="62"/>
        <v>INSERT INTO sy_perm_list (USER_CD, OPT_CD, ACCESS_TYPE, BRANCH_CODE, CLASS_CODE, ENT_BY, ENT_DATE, ENT_BY_IP)</v>
      </c>
      <c r="AH204" s="12" t="str">
        <f t="shared" si="96"/>
        <v>VALUES('08802204','HealthLife.aspx', 'USER', '01', '08', 'ABDUL', SYSDATE, '10.6.100.63');</v>
      </c>
      <c r="AI204" s="12" t="str">
        <f t="shared" si="64"/>
        <v>INSERT INTO sy_perm_list (USER_CD, OPT_CD, ACCESS_TYPE, BRANCH_CODE, CLASS_CODE, ENT_BY, ENT_DATE, ENT_BY_IP)</v>
      </c>
      <c r="AJ204" s="12" t="str">
        <f t="shared" si="76"/>
        <v>VALUES('08802204','IpdClaim.aspx', 'USER', '01', '08', 'ABDUL', SYSDATE, '10.6.100.63');</v>
      </c>
      <c r="AK204" s="12" t="str">
        <f t="shared" si="66"/>
        <v>INSERT INTO sy_perm_list (USER_CD, OPT_CD, ACCESS_TYPE, BRANCH_CODE, CLASS_CODE, ENT_BY, ENT_DATE, ENT_BY_IP)</v>
      </c>
      <c r="AL204" s="12" t="str">
        <f t="shared" si="77"/>
        <v>VALUES('08802204','OpdClaim.aspx', 'USER', '01', '08', 'ABDUL', SYSDATE, '10.6.100.63');</v>
      </c>
      <c r="AM204" s="12" t="str">
        <f t="shared" si="68"/>
        <v>INSERT INTO sy_perm_list (USER_CD, OPT_CD, ACCESS_TYPE, BRANCH_CODE, CLASS_CODE, ENT_BY, ENT_DATE, ENT_BY_IP)</v>
      </c>
      <c r="AN204" s="12" t="str">
        <f t="shared" si="78"/>
        <v>VALUES('08802204','RequestDetails.aspx', 'USER', '01', '08', 'ABDUL', SYSDATE, '10.6.100.63');</v>
      </c>
      <c r="AO204" s="12" t="str">
        <f t="shared" si="70"/>
        <v>INSERT INTO sy_perm_list (USER_CD, OPT_CD, ACCESS_TYPE, BRANCH_CODE, CLASS_CODE, ENT_BY, ENT_DATE, ENT_BY_IP)</v>
      </c>
      <c r="AP204" s="12" t="str">
        <f t="shared" si="79"/>
        <v>VALUES('08802204','TodaysRequest.aspx', 'USER', '01', '08', 'ABDUL', SYSDATE, '10.6.100.63');</v>
      </c>
    </row>
    <row r="205" spans="1:42" ht="78" thickBot="1" x14ac:dyDescent="0.3">
      <c r="A205" s="4">
        <v>186</v>
      </c>
      <c r="B205" s="37" t="s">
        <v>959</v>
      </c>
      <c r="F205" s="5" t="s">
        <v>287</v>
      </c>
      <c r="G205" s="6" t="s">
        <v>288</v>
      </c>
      <c r="J205" s="36" t="s">
        <v>358</v>
      </c>
      <c r="K205" s="36" t="s">
        <v>961</v>
      </c>
      <c r="L205" s="46" t="s">
        <v>962</v>
      </c>
      <c r="M205" s="42" t="s">
        <v>963</v>
      </c>
      <c r="S205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5" s="12" t="str">
        <f>"VALUES('"&amp;B205&amp;"','"&amp;K205&amp;"','Salaam@123','Y','N',sysdate,'016', 'C', 'Client', '"&amp;M205&amp;"','01','B', '08', 'ABDUL', sysdate, '10.6.100.63', '"&amp;B205&amp;"');"</f>
        <v>VALUES('08801541','Dhoraji Association (My Cover)','Salaam@123','Y','N',sysdate,'016', 'C', 'Client', 'rameez.mehboob@salaamtakaful.com','01','B', '08', 'ABDUL', sysdate, '10.6.100.63', '08801541');</v>
      </c>
      <c r="U205" s="12" t="str">
        <f t="shared" si="89"/>
        <v>INSERT INTO sy_user_branches (USER_CD, BRANCH_CODE, CLASS_CODE, ENT_BY, ENT_DATE, ENT_BY_IP)</v>
      </c>
      <c r="V205" s="12" t="str">
        <f t="shared" si="99"/>
        <v>values('08801541','01', '08', 'ABDUL', sysdate, '10.6.100.63');</v>
      </c>
      <c r="W205" s="12" t="str">
        <f t="shared" si="52"/>
        <v>INSERT INTO sy_perm_list (USER_CD, OPT_CD, ACCESS_TYPE, BRANCH_CODE, CLASS_CODE, ENT_BY, ENT_DATE, ENT_BY_IP)</v>
      </c>
      <c r="X205" s="12" t="str">
        <f t="shared" si="100"/>
        <v>VALUES('08801541','ClaimComments.aspx', 'USER', '01', '08', 'ABDUL', SYSDATE, '10.6.100.63');</v>
      </c>
      <c r="Y205" s="12" t="str">
        <f t="shared" si="54"/>
        <v>INSERT INTO sy_perm_list (USER_CD, OPT_CD, ACCESS_TYPE, BRANCH_CODE, CLASS_CODE, ENT_BY, ENT_DATE, ENT_BY_IP)</v>
      </c>
      <c r="Z205" s="12" t="str">
        <f t="shared" si="92"/>
        <v>VALUES('08801541','ClaimDocs.aspx', 'USER', '01', '08', 'ABDUL', SYSDATE, '10.6.100.63');</v>
      </c>
      <c r="AA205" s="12" t="str">
        <f t="shared" si="56"/>
        <v>INSERT INTO sy_perm_list (USER_CD, OPT_CD, ACCESS_TYPE, BRANCH_CODE, CLASS_CODE, ENT_BY, ENT_DATE, ENT_BY_IP)</v>
      </c>
      <c r="AB205" s="12" t="str">
        <f t="shared" si="93"/>
        <v>VALUES('08801541','Client.aspx', 'USER', '01', '08', 'ABDUL', SYSDATE, '10.6.100.63');</v>
      </c>
      <c r="AC205" s="12" t="str">
        <f t="shared" si="58"/>
        <v>INSERT INTO sy_perm_list (USER_CD, OPT_CD, ACCESS_TYPE, BRANCH_CODE, CLASS_CODE, ENT_BY, ENT_DATE, ENT_BY_IP)</v>
      </c>
      <c r="AD205" s="12" t="str">
        <f t="shared" si="94"/>
        <v>VALUES('08801541','ClientReports.aspx', 'USER', '01', '08', 'ABDUL', SYSDATE, '10.6.100.63');</v>
      </c>
      <c r="AE205" s="12" t="str">
        <f t="shared" si="60"/>
        <v>INSERT INTO sy_perm_list (USER_CD, OPT_CD, ACCESS_TYPE, BRANCH_CODE, CLASS_CODE, ENT_BY, ENT_DATE, ENT_BY_IP)</v>
      </c>
      <c r="AF205" s="12" t="str">
        <f t="shared" si="95"/>
        <v>VALUES('08801541','ClientRequests.aspx', 'USER', '01', '08', 'ABDUL', SYSDATE, '10.6.100.63');</v>
      </c>
      <c r="AG205" s="12" t="str">
        <f t="shared" si="62"/>
        <v>INSERT INTO sy_perm_list (USER_CD, OPT_CD, ACCESS_TYPE, BRANCH_CODE, CLASS_CODE, ENT_BY, ENT_DATE, ENT_BY_IP)</v>
      </c>
      <c r="AH205" s="12" t="str">
        <f t="shared" si="96"/>
        <v>VALUES('08801541','HealthLife.aspx', 'USER', '01', '08', 'ABDUL', SYSDATE, '10.6.100.63');</v>
      </c>
      <c r="AI205" s="12" t="str">
        <f t="shared" si="64"/>
        <v>INSERT INTO sy_perm_list (USER_CD, OPT_CD, ACCESS_TYPE, BRANCH_CODE, CLASS_CODE, ENT_BY, ENT_DATE, ENT_BY_IP)</v>
      </c>
      <c r="AJ205" s="12" t="str">
        <f t="shared" si="76"/>
        <v>VALUES('08801541','IpdClaim.aspx', 'USER', '01', '08', 'ABDUL', SYSDATE, '10.6.100.63');</v>
      </c>
      <c r="AK205" s="12" t="str">
        <f t="shared" si="66"/>
        <v>INSERT INTO sy_perm_list (USER_CD, OPT_CD, ACCESS_TYPE, BRANCH_CODE, CLASS_CODE, ENT_BY, ENT_DATE, ENT_BY_IP)</v>
      </c>
      <c r="AL205" s="12" t="str">
        <f t="shared" si="77"/>
        <v>VALUES('08801541','OpdClaim.aspx', 'USER', '01', '08', 'ABDUL', SYSDATE, '10.6.100.63');</v>
      </c>
      <c r="AM205" s="12" t="str">
        <f t="shared" si="68"/>
        <v>INSERT INTO sy_perm_list (USER_CD, OPT_CD, ACCESS_TYPE, BRANCH_CODE, CLASS_CODE, ENT_BY, ENT_DATE, ENT_BY_IP)</v>
      </c>
      <c r="AN205" s="12" t="str">
        <f t="shared" si="78"/>
        <v>VALUES('08801541','RequestDetails.aspx', 'USER', '01', '08', 'ABDUL', SYSDATE, '10.6.100.63');</v>
      </c>
      <c r="AO205" s="12" t="str">
        <f t="shared" si="70"/>
        <v>INSERT INTO sy_perm_list (USER_CD, OPT_CD, ACCESS_TYPE, BRANCH_CODE, CLASS_CODE, ENT_BY, ENT_DATE, ENT_BY_IP)</v>
      </c>
      <c r="AP205" s="12" t="str">
        <f t="shared" si="79"/>
        <v>VALUES('08801541','TodaysRequest.aspx', 'USER', '01', '08', 'ABDUL', SYSDATE, '10.6.100.63');</v>
      </c>
    </row>
    <row r="206" spans="1:42" ht="78" thickBot="1" x14ac:dyDescent="0.3">
      <c r="A206" s="4">
        <v>187</v>
      </c>
      <c r="B206" s="37" t="s">
        <v>960</v>
      </c>
      <c r="F206" s="5" t="s">
        <v>287</v>
      </c>
      <c r="G206" s="6" t="s">
        <v>288</v>
      </c>
      <c r="J206" s="36" t="s">
        <v>411</v>
      </c>
      <c r="K206" s="36" t="s">
        <v>964</v>
      </c>
      <c r="L206" s="46" t="s">
        <v>962</v>
      </c>
      <c r="M206" s="42" t="s">
        <v>963</v>
      </c>
      <c r="S206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6" s="12" t="str">
        <f>"VALUES('"&amp;B206&amp;"','"&amp;K206&amp;"','Salaam@123','Y','N',sysdate,'016', 'C', 'Client', '"&amp;M206&amp;"','01','B', '08', 'ABDUL', sysdate, '10.6.100.63', '"&amp;B205&amp;"');"</f>
        <v>VALUES('088015411','Dhoraji Association (My Family)','Salaam@123','Y','N',sysdate,'016', 'C', 'Client', 'rameez.mehboob@salaamtakaful.com','01','B', '08', 'ABDUL', sysdate, '10.6.100.63', '08801541');</v>
      </c>
      <c r="U206" s="12" t="str">
        <f t="shared" si="89"/>
        <v>INSERT INTO sy_user_branches (USER_CD, BRANCH_CODE, CLASS_CODE, ENT_BY, ENT_DATE, ENT_BY_IP)</v>
      </c>
      <c r="V206" s="12" t="str">
        <f t="shared" si="99"/>
        <v>values('088015411','01', '08', 'ABDUL', sysdate, '10.6.100.63');</v>
      </c>
      <c r="W206" s="12" t="str">
        <f t="shared" si="52"/>
        <v>INSERT INTO sy_perm_list (USER_CD, OPT_CD, ACCESS_TYPE, BRANCH_CODE, CLASS_CODE, ENT_BY, ENT_DATE, ENT_BY_IP)</v>
      </c>
      <c r="X206" s="12" t="str">
        <f t="shared" si="100"/>
        <v>VALUES('088015411','ClaimComments.aspx', 'USER', '01', '08', 'ABDUL', SYSDATE, '10.6.100.63');</v>
      </c>
      <c r="Y206" s="12" t="str">
        <f t="shared" si="54"/>
        <v>INSERT INTO sy_perm_list (USER_CD, OPT_CD, ACCESS_TYPE, BRANCH_CODE, CLASS_CODE, ENT_BY, ENT_DATE, ENT_BY_IP)</v>
      </c>
      <c r="Z206" s="12" t="str">
        <f t="shared" si="92"/>
        <v>VALUES('088015411','ClaimDocs.aspx', 'USER', '01', '08', 'ABDUL', SYSDATE, '10.6.100.63');</v>
      </c>
      <c r="AA206" s="12" t="str">
        <f t="shared" si="56"/>
        <v>INSERT INTO sy_perm_list (USER_CD, OPT_CD, ACCESS_TYPE, BRANCH_CODE, CLASS_CODE, ENT_BY, ENT_DATE, ENT_BY_IP)</v>
      </c>
      <c r="AB206" s="12" t="str">
        <f t="shared" si="93"/>
        <v>VALUES('088015411','Client.aspx', 'USER', '01', '08', 'ABDUL', SYSDATE, '10.6.100.63');</v>
      </c>
      <c r="AC206" s="12" t="str">
        <f t="shared" si="58"/>
        <v>INSERT INTO sy_perm_list (USER_CD, OPT_CD, ACCESS_TYPE, BRANCH_CODE, CLASS_CODE, ENT_BY, ENT_DATE, ENT_BY_IP)</v>
      </c>
      <c r="AD206" s="12" t="str">
        <f t="shared" si="94"/>
        <v>VALUES('088015411','ClientReports.aspx', 'USER', '01', '08', 'ABDUL', SYSDATE, '10.6.100.63');</v>
      </c>
      <c r="AE206" s="12" t="str">
        <f t="shared" si="60"/>
        <v>INSERT INTO sy_perm_list (USER_CD, OPT_CD, ACCESS_TYPE, BRANCH_CODE, CLASS_CODE, ENT_BY, ENT_DATE, ENT_BY_IP)</v>
      </c>
      <c r="AF206" s="12" t="str">
        <f t="shared" si="95"/>
        <v>VALUES('088015411','ClientRequests.aspx', 'USER', '01', '08', 'ABDUL', SYSDATE, '10.6.100.63');</v>
      </c>
      <c r="AG206" s="12" t="str">
        <f t="shared" si="62"/>
        <v>INSERT INTO sy_perm_list (USER_CD, OPT_CD, ACCESS_TYPE, BRANCH_CODE, CLASS_CODE, ENT_BY, ENT_DATE, ENT_BY_IP)</v>
      </c>
      <c r="AH206" s="12" t="str">
        <f t="shared" si="96"/>
        <v>VALUES('088015411','HealthLife.aspx', 'USER', '01', '08', 'ABDUL', SYSDATE, '10.6.100.63');</v>
      </c>
      <c r="AI206" s="12" t="str">
        <f t="shared" si="64"/>
        <v>INSERT INTO sy_perm_list (USER_CD, OPT_CD, ACCESS_TYPE, BRANCH_CODE, CLASS_CODE, ENT_BY, ENT_DATE, ENT_BY_IP)</v>
      </c>
      <c r="AJ206" s="12" t="str">
        <f t="shared" si="76"/>
        <v>VALUES('088015411','IpdClaim.aspx', 'USER', '01', '08', 'ABDUL', SYSDATE, '10.6.100.63');</v>
      </c>
      <c r="AK206" s="12" t="str">
        <f t="shared" si="66"/>
        <v>INSERT INTO sy_perm_list (USER_CD, OPT_CD, ACCESS_TYPE, BRANCH_CODE, CLASS_CODE, ENT_BY, ENT_DATE, ENT_BY_IP)</v>
      </c>
      <c r="AL206" s="12" t="str">
        <f t="shared" si="77"/>
        <v>VALUES('088015411','OpdClaim.aspx', 'USER', '01', '08', 'ABDUL', SYSDATE, '10.6.100.63');</v>
      </c>
      <c r="AM206" s="12" t="str">
        <f t="shared" si="68"/>
        <v>INSERT INTO sy_perm_list (USER_CD, OPT_CD, ACCESS_TYPE, BRANCH_CODE, CLASS_CODE, ENT_BY, ENT_DATE, ENT_BY_IP)</v>
      </c>
      <c r="AN206" s="12" t="str">
        <f t="shared" si="78"/>
        <v>VALUES('088015411','RequestDetails.aspx', 'USER', '01', '08', 'ABDUL', SYSDATE, '10.6.100.63');</v>
      </c>
      <c r="AO206" s="12" t="str">
        <f t="shared" si="70"/>
        <v>INSERT INTO sy_perm_list (USER_CD, OPT_CD, ACCESS_TYPE, BRANCH_CODE, CLASS_CODE, ENT_BY, ENT_DATE, ENT_BY_IP)</v>
      </c>
      <c r="AP206" s="12" t="str">
        <f t="shared" si="79"/>
        <v>VALUES('088015411','TodaysRequest.aspx', 'USER', '01', '08', 'ABDUL', SYSDATE, '10.6.100.63');</v>
      </c>
    </row>
    <row r="207" spans="1:42" ht="77.25" x14ac:dyDescent="0.25">
      <c r="B207" s="37" t="s">
        <v>965</v>
      </c>
      <c r="F207" s="5" t="s">
        <v>287</v>
      </c>
      <c r="G207" s="6" t="s">
        <v>288</v>
      </c>
      <c r="J207" s="36" t="s">
        <v>966</v>
      </c>
      <c r="K207" s="36" t="s">
        <v>967</v>
      </c>
      <c r="L207" s="36" t="s">
        <v>968</v>
      </c>
      <c r="M207" s="11" t="s">
        <v>969</v>
      </c>
      <c r="S207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7" s="12" t="str">
        <f>"VALUES('"&amp;B207&amp;"','"&amp;K207&amp;"','Salaam@123','Y','N',sysdate,'016', 'C', 'Client', '"&amp;M207&amp;"','01','B', '08', 'ABDUL', sysdate, '10.6.100.63', '"&amp;B207&amp;"');"</f>
        <v>VALUES('08802248','Arif Habib Limited','Salaam@123','Y','N',sysdate,'016', 'C', 'Client', 'khurram.morris@arifhabibltd.com','01','B', '08', 'ABDUL', sysdate, '10.6.100.63', '08802248');</v>
      </c>
      <c r="U207" s="12" t="str">
        <f t="shared" si="89"/>
        <v>INSERT INTO sy_user_branches (USER_CD, BRANCH_CODE, CLASS_CODE, ENT_BY, ENT_DATE, ENT_BY_IP)</v>
      </c>
      <c r="V207" s="12" t="str">
        <f t="shared" si="99"/>
        <v>values('08802248','01', '08', 'ABDUL', sysdate, '10.6.100.63');</v>
      </c>
      <c r="W207" s="12" t="str">
        <f t="shared" si="52"/>
        <v>INSERT INTO sy_perm_list (USER_CD, OPT_CD, ACCESS_TYPE, BRANCH_CODE, CLASS_CODE, ENT_BY, ENT_DATE, ENT_BY_IP)</v>
      </c>
      <c r="X207" s="12" t="str">
        <f t="shared" si="100"/>
        <v>VALUES('08802248','ClaimComments.aspx', 'USER', '01', '08', 'ABDUL', SYSDATE, '10.6.100.63');</v>
      </c>
      <c r="Y207" s="12" t="str">
        <f t="shared" si="54"/>
        <v>INSERT INTO sy_perm_list (USER_CD, OPT_CD, ACCESS_TYPE, BRANCH_CODE, CLASS_CODE, ENT_BY, ENT_DATE, ENT_BY_IP)</v>
      </c>
      <c r="Z207" s="12" t="str">
        <f t="shared" si="92"/>
        <v>VALUES('08802248','ClaimDocs.aspx', 'USER', '01', '08', 'ABDUL', SYSDATE, '10.6.100.63');</v>
      </c>
      <c r="AA207" s="12" t="str">
        <f t="shared" si="56"/>
        <v>INSERT INTO sy_perm_list (USER_CD, OPT_CD, ACCESS_TYPE, BRANCH_CODE, CLASS_CODE, ENT_BY, ENT_DATE, ENT_BY_IP)</v>
      </c>
      <c r="AB207" s="12" t="str">
        <f t="shared" si="93"/>
        <v>VALUES('08802248','Client.aspx', 'USER', '01', '08', 'ABDUL', SYSDATE, '10.6.100.63');</v>
      </c>
      <c r="AC207" s="12" t="str">
        <f t="shared" si="58"/>
        <v>INSERT INTO sy_perm_list (USER_CD, OPT_CD, ACCESS_TYPE, BRANCH_CODE, CLASS_CODE, ENT_BY, ENT_DATE, ENT_BY_IP)</v>
      </c>
      <c r="AD207" s="12" t="str">
        <f t="shared" si="94"/>
        <v>VALUES('08802248','ClientReports.aspx', 'USER', '01', '08', 'ABDUL', SYSDATE, '10.6.100.63');</v>
      </c>
      <c r="AE207" s="12" t="str">
        <f t="shared" si="60"/>
        <v>INSERT INTO sy_perm_list (USER_CD, OPT_CD, ACCESS_TYPE, BRANCH_CODE, CLASS_CODE, ENT_BY, ENT_DATE, ENT_BY_IP)</v>
      </c>
      <c r="AF207" s="12" t="str">
        <f t="shared" si="95"/>
        <v>VALUES('08802248','ClientRequests.aspx', 'USER', '01', '08', 'ABDUL', SYSDATE, '10.6.100.63');</v>
      </c>
      <c r="AG207" s="12" t="str">
        <f t="shared" si="62"/>
        <v>INSERT INTO sy_perm_list (USER_CD, OPT_CD, ACCESS_TYPE, BRANCH_CODE, CLASS_CODE, ENT_BY, ENT_DATE, ENT_BY_IP)</v>
      </c>
      <c r="AH207" s="12" t="str">
        <f t="shared" si="96"/>
        <v>VALUES('08802248','HealthLife.aspx', 'USER', '01', '08', 'ABDUL', SYSDATE, '10.6.100.63');</v>
      </c>
      <c r="AI207" s="12" t="str">
        <f t="shared" si="64"/>
        <v>INSERT INTO sy_perm_list (USER_CD, OPT_CD, ACCESS_TYPE, BRANCH_CODE, CLASS_CODE, ENT_BY, ENT_DATE, ENT_BY_IP)</v>
      </c>
      <c r="AJ207" s="12" t="str">
        <f t="shared" si="76"/>
        <v>VALUES('08802248','IpdClaim.aspx', 'USER', '01', '08', 'ABDUL', SYSDATE, '10.6.100.63');</v>
      </c>
      <c r="AK207" s="12" t="str">
        <f t="shared" si="66"/>
        <v>INSERT INTO sy_perm_list (USER_CD, OPT_CD, ACCESS_TYPE, BRANCH_CODE, CLASS_CODE, ENT_BY, ENT_DATE, ENT_BY_IP)</v>
      </c>
      <c r="AL207" s="12" t="str">
        <f t="shared" si="77"/>
        <v>VALUES('08802248','OpdClaim.aspx', 'USER', '01', '08', 'ABDUL', SYSDATE, '10.6.100.63');</v>
      </c>
      <c r="AM207" s="12" t="str">
        <f t="shared" si="68"/>
        <v>INSERT INTO sy_perm_list (USER_CD, OPT_CD, ACCESS_TYPE, BRANCH_CODE, CLASS_CODE, ENT_BY, ENT_DATE, ENT_BY_IP)</v>
      </c>
      <c r="AN207" s="12" t="str">
        <f t="shared" si="78"/>
        <v>VALUES('08802248','RequestDetails.aspx', 'USER', '01', '08', 'ABDUL', SYSDATE, '10.6.100.63');</v>
      </c>
      <c r="AO207" s="12" t="str">
        <f t="shared" si="70"/>
        <v>INSERT INTO sy_perm_list (USER_CD, OPT_CD, ACCESS_TYPE, BRANCH_CODE, CLASS_CODE, ENT_BY, ENT_DATE, ENT_BY_IP)</v>
      </c>
      <c r="AP207" s="12" t="str">
        <f t="shared" si="79"/>
        <v>VALUES('08802248','TodaysRequest.aspx', 'USER', '01', '08', 'ABDUL', SYSDATE, '10.6.100.63');</v>
      </c>
    </row>
    <row r="208" spans="1:42" ht="77.25" x14ac:dyDescent="0.25">
      <c r="B208" s="37" t="s">
        <v>970</v>
      </c>
      <c r="F208" s="5" t="s">
        <v>287</v>
      </c>
      <c r="G208" s="6" t="s">
        <v>288</v>
      </c>
      <c r="J208" s="36" t="s">
        <v>971</v>
      </c>
      <c r="K208" s="36" t="s">
        <v>972</v>
      </c>
      <c r="L208" s="36" t="s">
        <v>973</v>
      </c>
      <c r="M208" s="11" t="s">
        <v>974</v>
      </c>
      <c r="S208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8" s="12" t="str">
        <f>"VALUES('"&amp;B208&amp;"','"&amp;K208&amp;"','Salaam@123','Y','N',sysdate,'016', 'C', 'Client', '"&amp;M208&amp;"','01','B', '08', 'ABDUL', sysdate, '10.6.100.63', '"&amp;B208&amp;"');"</f>
        <v>VALUES('08802225','Engineering Consultants International Limited','Salaam@123','Y','N',sysdate,'016', 'C', 'Client', 'dania.razi@ecil.com','01','B', '08', 'ABDUL', sysdate, '10.6.100.63', '08802225');</v>
      </c>
      <c r="U208" s="12" t="str">
        <f t="shared" si="89"/>
        <v>INSERT INTO sy_user_branches (USER_CD, BRANCH_CODE, CLASS_CODE, ENT_BY, ENT_DATE, ENT_BY_IP)</v>
      </c>
      <c r="V208" s="12" t="str">
        <f t="shared" si="99"/>
        <v>values('08802225','01', '08', 'ABDUL', sysdate, '10.6.100.63');</v>
      </c>
      <c r="W208" s="12" t="str">
        <f t="shared" si="52"/>
        <v>INSERT INTO sy_perm_list (USER_CD, OPT_CD, ACCESS_TYPE, BRANCH_CODE, CLASS_CODE, ENT_BY, ENT_DATE, ENT_BY_IP)</v>
      </c>
      <c r="X208" s="12" t="str">
        <f t="shared" si="100"/>
        <v>VALUES('08802225','ClaimComments.aspx', 'USER', '01', '08', 'ABDUL', SYSDATE, '10.6.100.63');</v>
      </c>
      <c r="Y208" s="12" t="str">
        <f t="shared" si="54"/>
        <v>INSERT INTO sy_perm_list (USER_CD, OPT_CD, ACCESS_TYPE, BRANCH_CODE, CLASS_CODE, ENT_BY, ENT_DATE, ENT_BY_IP)</v>
      </c>
      <c r="Z208" s="12" t="str">
        <f t="shared" si="92"/>
        <v>VALUES('08802225','ClaimDocs.aspx', 'USER', '01', '08', 'ABDUL', SYSDATE, '10.6.100.63');</v>
      </c>
      <c r="AA208" s="12" t="str">
        <f t="shared" si="56"/>
        <v>INSERT INTO sy_perm_list (USER_CD, OPT_CD, ACCESS_TYPE, BRANCH_CODE, CLASS_CODE, ENT_BY, ENT_DATE, ENT_BY_IP)</v>
      </c>
      <c r="AB208" s="12" t="str">
        <f t="shared" si="93"/>
        <v>VALUES('08802225','Client.aspx', 'USER', '01', '08', 'ABDUL', SYSDATE, '10.6.100.63');</v>
      </c>
      <c r="AC208" s="12" t="str">
        <f t="shared" si="58"/>
        <v>INSERT INTO sy_perm_list (USER_CD, OPT_CD, ACCESS_TYPE, BRANCH_CODE, CLASS_CODE, ENT_BY, ENT_DATE, ENT_BY_IP)</v>
      </c>
      <c r="AD208" s="12" t="str">
        <f t="shared" si="94"/>
        <v>VALUES('08802225','ClientReports.aspx', 'USER', '01', '08', 'ABDUL', SYSDATE, '10.6.100.63');</v>
      </c>
      <c r="AE208" s="12" t="str">
        <f t="shared" si="60"/>
        <v>INSERT INTO sy_perm_list (USER_CD, OPT_CD, ACCESS_TYPE, BRANCH_CODE, CLASS_CODE, ENT_BY, ENT_DATE, ENT_BY_IP)</v>
      </c>
      <c r="AF208" s="12" t="str">
        <f t="shared" si="95"/>
        <v>VALUES('08802225','ClientRequests.aspx', 'USER', '01', '08', 'ABDUL', SYSDATE, '10.6.100.63');</v>
      </c>
      <c r="AG208" s="12" t="str">
        <f t="shared" si="62"/>
        <v>INSERT INTO sy_perm_list (USER_CD, OPT_CD, ACCESS_TYPE, BRANCH_CODE, CLASS_CODE, ENT_BY, ENT_DATE, ENT_BY_IP)</v>
      </c>
      <c r="AH208" s="12" t="str">
        <f t="shared" si="96"/>
        <v>VALUES('08802225','HealthLife.aspx', 'USER', '01', '08', 'ABDUL', SYSDATE, '10.6.100.63');</v>
      </c>
      <c r="AI208" s="12" t="str">
        <f t="shared" si="64"/>
        <v>INSERT INTO sy_perm_list (USER_CD, OPT_CD, ACCESS_TYPE, BRANCH_CODE, CLASS_CODE, ENT_BY, ENT_DATE, ENT_BY_IP)</v>
      </c>
      <c r="AJ208" s="12" t="str">
        <f t="shared" si="76"/>
        <v>VALUES('08802225','IpdClaim.aspx', 'USER', '01', '08', 'ABDUL', SYSDATE, '10.6.100.63');</v>
      </c>
      <c r="AK208" s="12" t="str">
        <f t="shared" si="66"/>
        <v>INSERT INTO sy_perm_list (USER_CD, OPT_CD, ACCESS_TYPE, BRANCH_CODE, CLASS_CODE, ENT_BY, ENT_DATE, ENT_BY_IP)</v>
      </c>
      <c r="AL208" s="12" t="str">
        <f t="shared" si="77"/>
        <v>VALUES('08802225','OpdClaim.aspx', 'USER', '01', '08', 'ABDUL', SYSDATE, '10.6.100.63');</v>
      </c>
      <c r="AM208" s="12" t="str">
        <f t="shared" si="68"/>
        <v>INSERT INTO sy_perm_list (USER_CD, OPT_CD, ACCESS_TYPE, BRANCH_CODE, CLASS_CODE, ENT_BY, ENT_DATE, ENT_BY_IP)</v>
      </c>
      <c r="AN208" s="12" t="str">
        <f t="shared" si="78"/>
        <v>VALUES('08802225','RequestDetails.aspx', 'USER', '01', '08', 'ABDUL', SYSDATE, '10.6.100.63');</v>
      </c>
      <c r="AO208" s="12" t="str">
        <f t="shared" si="70"/>
        <v>INSERT INTO sy_perm_list (USER_CD, OPT_CD, ACCESS_TYPE, BRANCH_CODE, CLASS_CODE, ENT_BY, ENT_DATE, ENT_BY_IP)</v>
      </c>
      <c r="AP208" s="12" t="str">
        <f t="shared" si="79"/>
        <v>VALUES('08802225','TodaysRequest.aspx', 'USER', '01', '08', 'ABDUL', SYSDATE, '10.6.100.63');</v>
      </c>
    </row>
    <row r="209" spans="2:42" ht="77.25" x14ac:dyDescent="0.25">
      <c r="B209" s="37" t="s">
        <v>975</v>
      </c>
      <c r="F209" s="5" t="s">
        <v>287</v>
      </c>
      <c r="G209" s="6" t="s">
        <v>288</v>
      </c>
      <c r="J209" s="36" t="s">
        <v>976</v>
      </c>
      <c r="K209" s="36" t="s">
        <v>977</v>
      </c>
      <c r="L209" s="36" t="s">
        <v>978</v>
      </c>
      <c r="M209" s="11" t="s">
        <v>979</v>
      </c>
      <c r="S209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09" s="12" t="str">
        <f>"VALUES('"&amp;B209&amp;"','"&amp;K209&amp;"','Salaam@123','Y','N',sysdate,'016', 'C', 'Client', '"&amp;M209&amp;"','01','B', '08', 'ABDUL', sysdate, '10.6.100.63', '"&amp;B208&amp;"');"</f>
        <v>VALUES('088022551','Hameem Foods Solutions','Salaam@123','Y','N',sysdate,'016', 'C', 'Client', ' ghulam.qadir@hfs.com.pk','01','B', '08', 'ABDUL', sysdate, '10.6.100.63', '08802225');</v>
      </c>
      <c r="U209" s="12" t="str">
        <f t="shared" si="89"/>
        <v>INSERT INTO sy_user_branches (USER_CD, BRANCH_CODE, CLASS_CODE, ENT_BY, ENT_DATE, ENT_BY_IP)</v>
      </c>
      <c r="V209" s="12" t="str">
        <f t="shared" si="99"/>
        <v>values('088022551','01', '08', 'ABDUL', sysdate, '10.6.100.63');</v>
      </c>
      <c r="W209" s="12" t="str">
        <f t="shared" si="52"/>
        <v>INSERT INTO sy_perm_list (USER_CD, OPT_CD, ACCESS_TYPE, BRANCH_CODE, CLASS_CODE, ENT_BY, ENT_DATE, ENT_BY_IP)</v>
      </c>
      <c r="X209" s="12" t="str">
        <f t="shared" si="100"/>
        <v>VALUES('088022551','ClaimComments.aspx', 'USER', '01', '08', 'ABDUL', SYSDATE, '10.6.100.63');</v>
      </c>
      <c r="Y209" s="12" t="str">
        <f t="shared" si="54"/>
        <v>INSERT INTO sy_perm_list (USER_CD, OPT_CD, ACCESS_TYPE, BRANCH_CODE, CLASS_CODE, ENT_BY, ENT_DATE, ENT_BY_IP)</v>
      </c>
      <c r="Z209" s="12" t="str">
        <f t="shared" si="92"/>
        <v>VALUES('088022551','ClaimDocs.aspx', 'USER', '01', '08', 'ABDUL', SYSDATE, '10.6.100.63');</v>
      </c>
      <c r="AA209" s="12" t="str">
        <f t="shared" si="56"/>
        <v>INSERT INTO sy_perm_list (USER_CD, OPT_CD, ACCESS_TYPE, BRANCH_CODE, CLASS_CODE, ENT_BY, ENT_DATE, ENT_BY_IP)</v>
      </c>
      <c r="AB209" s="12" t="str">
        <f t="shared" si="93"/>
        <v>VALUES('088022551','Client.aspx', 'USER', '01', '08', 'ABDUL', SYSDATE, '10.6.100.63');</v>
      </c>
      <c r="AC209" s="12" t="str">
        <f t="shared" si="58"/>
        <v>INSERT INTO sy_perm_list (USER_CD, OPT_CD, ACCESS_TYPE, BRANCH_CODE, CLASS_CODE, ENT_BY, ENT_DATE, ENT_BY_IP)</v>
      </c>
      <c r="AD209" s="12" t="str">
        <f t="shared" si="94"/>
        <v>VALUES('088022551','ClientReports.aspx', 'USER', '01', '08', 'ABDUL', SYSDATE, '10.6.100.63');</v>
      </c>
      <c r="AE209" s="12" t="str">
        <f t="shared" si="60"/>
        <v>INSERT INTO sy_perm_list (USER_CD, OPT_CD, ACCESS_TYPE, BRANCH_CODE, CLASS_CODE, ENT_BY, ENT_DATE, ENT_BY_IP)</v>
      </c>
      <c r="AF209" s="12" t="str">
        <f t="shared" si="95"/>
        <v>VALUES('088022551','ClientRequests.aspx', 'USER', '01', '08', 'ABDUL', SYSDATE, '10.6.100.63');</v>
      </c>
      <c r="AG209" s="12" t="str">
        <f t="shared" si="62"/>
        <v>INSERT INTO sy_perm_list (USER_CD, OPT_CD, ACCESS_TYPE, BRANCH_CODE, CLASS_CODE, ENT_BY, ENT_DATE, ENT_BY_IP)</v>
      </c>
      <c r="AH209" s="12" t="str">
        <f t="shared" si="96"/>
        <v>VALUES('088022551','HealthLife.aspx', 'USER', '01', '08', 'ABDUL', SYSDATE, '10.6.100.63');</v>
      </c>
      <c r="AI209" s="12" t="str">
        <f t="shared" si="64"/>
        <v>INSERT INTO sy_perm_list (USER_CD, OPT_CD, ACCESS_TYPE, BRANCH_CODE, CLASS_CODE, ENT_BY, ENT_DATE, ENT_BY_IP)</v>
      </c>
      <c r="AJ209" s="12" t="str">
        <f t="shared" ref="AJ209:AJ236" si="101">"VALUES('"&amp;B209&amp;"','IpdClaim.aspx', 'USER', '01', '08', 'ABDUL', SYSDATE, '10.6.100.63');"</f>
        <v>VALUES('088022551','IpdClaim.aspx', 'USER', '01', '08', 'ABDUL', SYSDATE, '10.6.100.63');</v>
      </c>
      <c r="AK209" s="12" t="str">
        <f t="shared" si="66"/>
        <v>INSERT INTO sy_perm_list (USER_CD, OPT_CD, ACCESS_TYPE, BRANCH_CODE, CLASS_CODE, ENT_BY, ENT_DATE, ENT_BY_IP)</v>
      </c>
      <c r="AL209" s="12" t="str">
        <f t="shared" ref="AL209:AL236" si="102">"VALUES('"&amp;B209&amp;"','OpdClaim.aspx', 'USER', '01', '08', 'ABDUL', SYSDATE, '10.6.100.63');"</f>
        <v>VALUES('088022551','OpdClaim.aspx', 'USER', '01', '08', 'ABDUL', SYSDATE, '10.6.100.63');</v>
      </c>
      <c r="AM209" s="12" t="str">
        <f t="shared" si="68"/>
        <v>INSERT INTO sy_perm_list (USER_CD, OPT_CD, ACCESS_TYPE, BRANCH_CODE, CLASS_CODE, ENT_BY, ENT_DATE, ENT_BY_IP)</v>
      </c>
      <c r="AN209" s="12" t="str">
        <f t="shared" ref="AN209:AN236" si="103">"VALUES('"&amp;B209&amp;"','RequestDetails.aspx', 'USER', '01', '08', 'ABDUL', SYSDATE, '10.6.100.63');"</f>
        <v>VALUES('088022551','RequestDetails.aspx', 'USER', '01', '08', 'ABDUL', SYSDATE, '10.6.100.63');</v>
      </c>
      <c r="AO209" s="12" t="str">
        <f t="shared" si="70"/>
        <v>INSERT INTO sy_perm_list (USER_CD, OPT_CD, ACCESS_TYPE, BRANCH_CODE, CLASS_CODE, ENT_BY, ENT_DATE, ENT_BY_IP)</v>
      </c>
      <c r="AP209" s="12" t="str">
        <f t="shared" ref="AP209:AP236" si="104">"VALUES('"&amp;B209&amp;"','TodaysRequest.aspx', 'USER', '01', '08', 'ABDUL', SYSDATE, '10.6.100.63');"</f>
        <v>VALUES('088022551','TodaysRequest.aspx', 'USER', '01', '08', 'ABDUL', SYSDATE, '10.6.100.63');</v>
      </c>
    </row>
    <row r="210" spans="2:42" ht="77.25" x14ac:dyDescent="0.25">
      <c r="B210" s="37" t="s">
        <v>980</v>
      </c>
      <c r="F210" s="5" t="s">
        <v>287</v>
      </c>
      <c r="G210" s="6" t="s">
        <v>288</v>
      </c>
      <c r="J210" s="36" t="s">
        <v>981</v>
      </c>
      <c r="K210" s="36" t="s">
        <v>982</v>
      </c>
      <c r="L210" s="36" t="s">
        <v>983</v>
      </c>
      <c r="M210" s="11" t="s">
        <v>984</v>
      </c>
      <c r="S210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0" s="12" t="str">
        <f t="shared" ref="T210:T216" si="105">"VALUES('"&amp;B210&amp;"','"&amp;K210&amp;"','Salaam@123','Y','N',sysdate,'016', 'C', 'Client', '"&amp;M210&amp;"','01','B', '08', 'ABDUL', sysdate, '10.6.100.63', '"&amp;B210&amp;"');"</f>
        <v>VALUES('08802251','Alpha Aviation','Salaam@123','Y','N',sysdate,'016', 'C', 'Client', ' accounts@alphaaviationsltd.com','01','B', '08', 'ABDUL', sysdate, '10.6.100.63', '08802251');</v>
      </c>
      <c r="U210" s="12" t="str">
        <f t="shared" si="89"/>
        <v>INSERT INTO sy_user_branches (USER_CD, BRANCH_CODE, CLASS_CODE, ENT_BY, ENT_DATE, ENT_BY_IP)</v>
      </c>
      <c r="V210" s="12" t="str">
        <f t="shared" si="99"/>
        <v>values('08802251','01', '08', 'ABDUL', sysdate, '10.6.100.63');</v>
      </c>
      <c r="W210" s="12" t="str">
        <f t="shared" si="52"/>
        <v>INSERT INTO sy_perm_list (USER_CD, OPT_CD, ACCESS_TYPE, BRANCH_CODE, CLASS_CODE, ENT_BY, ENT_DATE, ENT_BY_IP)</v>
      </c>
      <c r="X210" s="12" t="str">
        <f t="shared" si="100"/>
        <v>VALUES('08802251','ClaimComments.aspx', 'USER', '01', '08', 'ABDUL', SYSDATE, '10.6.100.63');</v>
      </c>
      <c r="Y210" s="12" t="str">
        <f t="shared" si="54"/>
        <v>INSERT INTO sy_perm_list (USER_CD, OPT_CD, ACCESS_TYPE, BRANCH_CODE, CLASS_CODE, ENT_BY, ENT_DATE, ENT_BY_IP)</v>
      </c>
      <c r="Z210" s="12" t="str">
        <f t="shared" si="92"/>
        <v>VALUES('08802251','ClaimDocs.aspx', 'USER', '01', '08', 'ABDUL', SYSDATE, '10.6.100.63');</v>
      </c>
      <c r="AA210" s="12" t="str">
        <f t="shared" si="56"/>
        <v>INSERT INTO sy_perm_list (USER_CD, OPT_CD, ACCESS_TYPE, BRANCH_CODE, CLASS_CODE, ENT_BY, ENT_DATE, ENT_BY_IP)</v>
      </c>
      <c r="AB210" s="12" t="str">
        <f t="shared" si="93"/>
        <v>VALUES('08802251','Client.aspx', 'USER', '01', '08', 'ABDUL', SYSDATE, '10.6.100.63');</v>
      </c>
      <c r="AC210" s="12" t="str">
        <f t="shared" si="58"/>
        <v>INSERT INTO sy_perm_list (USER_CD, OPT_CD, ACCESS_TYPE, BRANCH_CODE, CLASS_CODE, ENT_BY, ENT_DATE, ENT_BY_IP)</v>
      </c>
      <c r="AD210" s="12" t="str">
        <f t="shared" si="94"/>
        <v>VALUES('08802251','ClientReports.aspx', 'USER', '01', '08', 'ABDUL', SYSDATE, '10.6.100.63');</v>
      </c>
      <c r="AE210" s="12" t="str">
        <f t="shared" si="60"/>
        <v>INSERT INTO sy_perm_list (USER_CD, OPT_CD, ACCESS_TYPE, BRANCH_CODE, CLASS_CODE, ENT_BY, ENT_DATE, ENT_BY_IP)</v>
      </c>
      <c r="AF210" s="12" t="str">
        <f t="shared" si="95"/>
        <v>VALUES('08802251','ClientRequests.aspx', 'USER', '01', '08', 'ABDUL', SYSDATE, '10.6.100.63');</v>
      </c>
      <c r="AG210" s="12" t="str">
        <f t="shared" si="62"/>
        <v>INSERT INTO sy_perm_list (USER_CD, OPT_CD, ACCESS_TYPE, BRANCH_CODE, CLASS_CODE, ENT_BY, ENT_DATE, ENT_BY_IP)</v>
      </c>
      <c r="AH210" s="12" t="str">
        <f t="shared" si="96"/>
        <v>VALUES('08802251','HealthLife.aspx', 'USER', '01', '08', 'ABDUL', SYSDATE, '10.6.100.63');</v>
      </c>
      <c r="AI210" s="12" t="str">
        <f t="shared" si="64"/>
        <v>INSERT INTO sy_perm_list (USER_CD, OPT_CD, ACCESS_TYPE, BRANCH_CODE, CLASS_CODE, ENT_BY, ENT_DATE, ENT_BY_IP)</v>
      </c>
      <c r="AJ210" s="12" t="str">
        <f t="shared" si="101"/>
        <v>VALUES('08802251','IpdClaim.aspx', 'USER', '01', '08', 'ABDUL', SYSDATE, '10.6.100.63');</v>
      </c>
      <c r="AK210" s="12" t="str">
        <f t="shared" si="66"/>
        <v>INSERT INTO sy_perm_list (USER_CD, OPT_CD, ACCESS_TYPE, BRANCH_CODE, CLASS_CODE, ENT_BY, ENT_DATE, ENT_BY_IP)</v>
      </c>
      <c r="AL210" s="12" t="str">
        <f t="shared" si="102"/>
        <v>VALUES('08802251','OpdClaim.aspx', 'USER', '01', '08', 'ABDUL', SYSDATE, '10.6.100.63');</v>
      </c>
      <c r="AM210" s="12" t="str">
        <f t="shared" si="68"/>
        <v>INSERT INTO sy_perm_list (USER_CD, OPT_CD, ACCESS_TYPE, BRANCH_CODE, CLASS_CODE, ENT_BY, ENT_DATE, ENT_BY_IP)</v>
      </c>
      <c r="AN210" s="12" t="str">
        <f t="shared" si="103"/>
        <v>VALUES('08802251','RequestDetails.aspx', 'USER', '01', '08', 'ABDUL', SYSDATE, '10.6.100.63');</v>
      </c>
      <c r="AO210" s="12" t="str">
        <f t="shared" si="70"/>
        <v>INSERT INTO sy_perm_list (USER_CD, OPT_CD, ACCESS_TYPE, BRANCH_CODE, CLASS_CODE, ENT_BY, ENT_DATE, ENT_BY_IP)</v>
      </c>
      <c r="AP210" s="12" t="str">
        <f t="shared" si="104"/>
        <v>VALUES('08802251','TodaysRequest.aspx', 'USER', '01', '08', 'ABDUL', SYSDATE, '10.6.100.63');</v>
      </c>
    </row>
    <row r="211" spans="2:42" ht="78" thickBot="1" x14ac:dyDescent="0.3">
      <c r="B211" s="37" t="s">
        <v>985</v>
      </c>
      <c r="F211" s="5" t="s">
        <v>287</v>
      </c>
      <c r="G211" s="6" t="s">
        <v>288</v>
      </c>
      <c r="J211" s="36" t="s">
        <v>986</v>
      </c>
      <c r="K211" s="46" t="s">
        <v>987</v>
      </c>
      <c r="L211" s="39" t="s">
        <v>989</v>
      </c>
      <c r="M211" s="50" t="s">
        <v>988</v>
      </c>
      <c r="S211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1" s="12" t="str">
        <f t="shared" si="105"/>
        <v>VALUES('08802181','Orient Oil (Pvt) Limited','Salaam@123','Y','N',sysdate,'016', 'C', 'Client', 'babar@orient-power.com','01','B', '08', 'ABDUL', sysdate, '10.6.100.63', '08802181');</v>
      </c>
      <c r="U211" s="12" t="str">
        <f t="shared" si="89"/>
        <v>INSERT INTO sy_user_branches (USER_CD, BRANCH_CODE, CLASS_CODE, ENT_BY, ENT_DATE, ENT_BY_IP)</v>
      </c>
      <c r="V211" s="12" t="str">
        <f t="shared" si="99"/>
        <v>values('08802181','01', '08', 'ABDUL', sysdate, '10.6.100.63');</v>
      </c>
      <c r="W211" s="12" t="str">
        <f t="shared" si="52"/>
        <v>INSERT INTO sy_perm_list (USER_CD, OPT_CD, ACCESS_TYPE, BRANCH_CODE, CLASS_CODE, ENT_BY, ENT_DATE, ENT_BY_IP)</v>
      </c>
      <c r="X211" s="12" t="str">
        <f t="shared" si="100"/>
        <v>VALUES('08802181','ClaimComments.aspx', 'USER', '01', '08', 'ABDUL', SYSDATE, '10.6.100.63');</v>
      </c>
      <c r="Y211" s="12" t="str">
        <f t="shared" si="54"/>
        <v>INSERT INTO sy_perm_list (USER_CD, OPT_CD, ACCESS_TYPE, BRANCH_CODE, CLASS_CODE, ENT_BY, ENT_DATE, ENT_BY_IP)</v>
      </c>
      <c r="Z211" s="12" t="str">
        <f t="shared" si="92"/>
        <v>VALUES('08802181','ClaimDocs.aspx', 'USER', '01', '08', 'ABDUL', SYSDATE, '10.6.100.63');</v>
      </c>
      <c r="AA211" s="12" t="str">
        <f t="shared" si="56"/>
        <v>INSERT INTO sy_perm_list (USER_CD, OPT_CD, ACCESS_TYPE, BRANCH_CODE, CLASS_CODE, ENT_BY, ENT_DATE, ENT_BY_IP)</v>
      </c>
      <c r="AB211" s="12" t="str">
        <f t="shared" si="93"/>
        <v>VALUES('08802181','Client.aspx', 'USER', '01', '08', 'ABDUL', SYSDATE, '10.6.100.63');</v>
      </c>
      <c r="AC211" s="12" t="str">
        <f t="shared" si="58"/>
        <v>INSERT INTO sy_perm_list (USER_CD, OPT_CD, ACCESS_TYPE, BRANCH_CODE, CLASS_CODE, ENT_BY, ENT_DATE, ENT_BY_IP)</v>
      </c>
      <c r="AD211" s="12" t="str">
        <f t="shared" si="94"/>
        <v>VALUES('08802181','ClientReports.aspx', 'USER', '01', '08', 'ABDUL', SYSDATE, '10.6.100.63');</v>
      </c>
      <c r="AE211" s="12" t="str">
        <f t="shared" si="60"/>
        <v>INSERT INTO sy_perm_list (USER_CD, OPT_CD, ACCESS_TYPE, BRANCH_CODE, CLASS_CODE, ENT_BY, ENT_DATE, ENT_BY_IP)</v>
      </c>
      <c r="AF211" s="12" t="str">
        <f t="shared" si="95"/>
        <v>VALUES('08802181','ClientRequests.aspx', 'USER', '01', '08', 'ABDUL', SYSDATE, '10.6.100.63');</v>
      </c>
      <c r="AG211" s="12" t="str">
        <f t="shared" si="62"/>
        <v>INSERT INTO sy_perm_list (USER_CD, OPT_CD, ACCESS_TYPE, BRANCH_CODE, CLASS_CODE, ENT_BY, ENT_DATE, ENT_BY_IP)</v>
      </c>
      <c r="AH211" s="12" t="str">
        <f t="shared" si="96"/>
        <v>VALUES('08802181','HealthLife.aspx', 'USER', '01', '08', 'ABDUL', SYSDATE, '10.6.100.63');</v>
      </c>
      <c r="AI211" s="12" t="str">
        <f t="shared" si="64"/>
        <v>INSERT INTO sy_perm_list (USER_CD, OPT_CD, ACCESS_TYPE, BRANCH_CODE, CLASS_CODE, ENT_BY, ENT_DATE, ENT_BY_IP)</v>
      </c>
      <c r="AJ211" s="12" t="str">
        <f t="shared" si="101"/>
        <v>VALUES('08802181','IpdClaim.aspx', 'USER', '01', '08', 'ABDUL', SYSDATE, '10.6.100.63');</v>
      </c>
      <c r="AK211" s="12" t="str">
        <f t="shared" si="66"/>
        <v>INSERT INTO sy_perm_list (USER_CD, OPT_CD, ACCESS_TYPE, BRANCH_CODE, CLASS_CODE, ENT_BY, ENT_DATE, ENT_BY_IP)</v>
      </c>
      <c r="AL211" s="12" t="str">
        <f t="shared" si="102"/>
        <v>VALUES('08802181','OpdClaim.aspx', 'USER', '01', '08', 'ABDUL', SYSDATE, '10.6.100.63');</v>
      </c>
      <c r="AM211" s="12" t="str">
        <f t="shared" si="68"/>
        <v>INSERT INTO sy_perm_list (USER_CD, OPT_CD, ACCESS_TYPE, BRANCH_CODE, CLASS_CODE, ENT_BY, ENT_DATE, ENT_BY_IP)</v>
      </c>
      <c r="AN211" s="12" t="str">
        <f t="shared" si="103"/>
        <v>VALUES('08802181','RequestDetails.aspx', 'USER', '01', '08', 'ABDUL', SYSDATE, '10.6.100.63');</v>
      </c>
      <c r="AO211" s="12" t="str">
        <f t="shared" si="70"/>
        <v>INSERT INTO sy_perm_list (USER_CD, OPT_CD, ACCESS_TYPE, BRANCH_CODE, CLASS_CODE, ENT_BY, ENT_DATE, ENT_BY_IP)</v>
      </c>
      <c r="AP211" s="12" t="str">
        <f t="shared" si="104"/>
        <v>VALUES('08802181','TodaysRequest.aspx', 'USER', '01', '08', 'ABDUL', SYSDATE, '10.6.100.63');</v>
      </c>
    </row>
    <row r="212" spans="2:42" ht="78" thickBot="1" x14ac:dyDescent="0.3">
      <c r="B212" s="37" t="s">
        <v>990</v>
      </c>
      <c r="F212" s="5" t="s">
        <v>287</v>
      </c>
      <c r="G212" s="6" t="s">
        <v>288</v>
      </c>
      <c r="J212" s="36" t="s">
        <v>991</v>
      </c>
      <c r="K212" s="51" t="s">
        <v>992</v>
      </c>
      <c r="L212" s="36" t="s">
        <v>993</v>
      </c>
      <c r="M212" s="11" t="s">
        <v>994</v>
      </c>
      <c r="S212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2" s="12" t="str">
        <f t="shared" si="105"/>
        <v>VALUES('08802285','Recorder Television Network (Pvt) Ltd (AAJ News)','Salaam@123','Y','N',sysdate,'016', 'C', 'Client', 'fareha.laiq@aaj.tv','01','B', '08', 'ABDUL', sysdate, '10.6.100.63', '08802285');</v>
      </c>
      <c r="U212" s="12" t="str">
        <f t="shared" si="89"/>
        <v>INSERT INTO sy_user_branches (USER_CD, BRANCH_CODE, CLASS_CODE, ENT_BY, ENT_DATE, ENT_BY_IP)</v>
      </c>
      <c r="V212" s="12" t="str">
        <f t="shared" si="99"/>
        <v>values('08802285','01', '08', 'ABDUL', sysdate, '10.6.100.63');</v>
      </c>
      <c r="W212" s="12" t="str">
        <f t="shared" si="52"/>
        <v>INSERT INTO sy_perm_list (USER_CD, OPT_CD, ACCESS_TYPE, BRANCH_CODE, CLASS_CODE, ENT_BY, ENT_DATE, ENT_BY_IP)</v>
      </c>
      <c r="X212" s="12" t="str">
        <f t="shared" si="100"/>
        <v>VALUES('08802285','ClaimComments.aspx', 'USER', '01', '08', 'ABDUL', SYSDATE, '10.6.100.63');</v>
      </c>
      <c r="Y212" s="12" t="str">
        <f t="shared" si="54"/>
        <v>INSERT INTO sy_perm_list (USER_CD, OPT_CD, ACCESS_TYPE, BRANCH_CODE, CLASS_CODE, ENT_BY, ENT_DATE, ENT_BY_IP)</v>
      </c>
      <c r="Z212" s="12" t="str">
        <f t="shared" si="92"/>
        <v>VALUES('08802285','ClaimDocs.aspx', 'USER', '01', '08', 'ABDUL', SYSDATE, '10.6.100.63');</v>
      </c>
      <c r="AA212" s="12" t="str">
        <f t="shared" si="56"/>
        <v>INSERT INTO sy_perm_list (USER_CD, OPT_CD, ACCESS_TYPE, BRANCH_CODE, CLASS_CODE, ENT_BY, ENT_DATE, ENT_BY_IP)</v>
      </c>
      <c r="AB212" s="12" t="str">
        <f t="shared" si="93"/>
        <v>VALUES('08802285','Client.aspx', 'USER', '01', '08', 'ABDUL', SYSDATE, '10.6.100.63');</v>
      </c>
      <c r="AC212" s="12" t="str">
        <f t="shared" si="58"/>
        <v>INSERT INTO sy_perm_list (USER_CD, OPT_CD, ACCESS_TYPE, BRANCH_CODE, CLASS_CODE, ENT_BY, ENT_DATE, ENT_BY_IP)</v>
      </c>
      <c r="AD212" s="12" t="str">
        <f t="shared" si="94"/>
        <v>VALUES('08802285','ClientReports.aspx', 'USER', '01', '08', 'ABDUL', SYSDATE, '10.6.100.63');</v>
      </c>
      <c r="AE212" s="12" t="str">
        <f t="shared" si="60"/>
        <v>INSERT INTO sy_perm_list (USER_CD, OPT_CD, ACCESS_TYPE, BRANCH_CODE, CLASS_CODE, ENT_BY, ENT_DATE, ENT_BY_IP)</v>
      </c>
      <c r="AF212" s="12" t="str">
        <f t="shared" si="95"/>
        <v>VALUES('08802285','ClientRequests.aspx', 'USER', '01', '08', 'ABDUL', SYSDATE, '10.6.100.63');</v>
      </c>
      <c r="AG212" s="12" t="str">
        <f t="shared" si="62"/>
        <v>INSERT INTO sy_perm_list (USER_CD, OPT_CD, ACCESS_TYPE, BRANCH_CODE, CLASS_CODE, ENT_BY, ENT_DATE, ENT_BY_IP)</v>
      </c>
      <c r="AH212" s="12" t="str">
        <f t="shared" si="96"/>
        <v>VALUES('08802285','HealthLife.aspx', 'USER', '01', '08', 'ABDUL', SYSDATE, '10.6.100.63');</v>
      </c>
      <c r="AI212" s="12" t="str">
        <f t="shared" si="64"/>
        <v>INSERT INTO sy_perm_list (USER_CD, OPT_CD, ACCESS_TYPE, BRANCH_CODE, CLASS_CODE, ENT_BY, ENT_DATE, ENT_BY_IP)</v>
      </c>
      <c r="AJ212" s="12" t="str">
        <f t="shared" si="101"/>
        <v>VALUES('08802285','IpdClaim.aspx', 'USER', '01', '08', 'ABDUL', SYSDATE, '10.6.100.63');</v>
      </c>
      <c r="AK212" s="12" t="str">
        <f t="shared" si="66"/>
        <v>INSERT INTO sy_perm_list (USER_CD, OPT_CD, ACCESS_TYPE, BRANCH_CODE, CLASS_CODE, ENT_BY, ENT_DATE, ENT_BY_IP)</v>
      </c>
      <c r="AL212" s="12" t="str">
        <f t="shared" si="102"/>
        <v>VALUES('08802285','OpdClaim.aspx', 'USER', '01', '08', 'ABDUL', SYSDATE, '10.6.100.63');</v>
      </c>
      <c r="AM212" s="12" t="str">
        <f t="shared" si="68"/>
        <v>INSERT INTO sy_perm_list (USER_CD, OPT_CD, ACCESS_TYPE, BRANCH_CODE, CLASS_CODE, ENT_BY, ENT_DATE, ENT_BY_IP)</v>
      </c>
      <c r="AN212" s="12" t="str">
        <f t="shared" si="103"/>
        <v>VALUES('08802285','RequestDetails.aspx', 'USER', '01', '08', 'ABDUL', SYSDATE, '10.6.100.63');</v>
      </c>
      <c r="AO212" s="12" t="str">
        <f t="shared" si="70"/>
        <v>INSERT INTO sy_perm_list (USER_CD, OPT_CD, ACCESS_TYPE, BRANCH_CODE, CLASS_CODE, ENT_BY, ENT_DATE, ENT_BY_IP)</v>
      </c>
      <c r="AP212" s="12" t="str">
        <f t="shared" si="104"/>
        <v>VALUES('08802285','TodaysRequest.aspx', 'USER', '01', '08', 'ABDUL', SYSDATE, '10.6.100.63');</v>
      </c>
    </row>
    <row r="213" spans="2:42" ht="78" thickBot="1" x14ac:dyDescent="0.3">
      <c r="B213" s="37" t="s">
        <v>996</v>
      </c>
      <c r="F213" s="5" t="s">
        <v>287</v>
      </c>
      <c r="G213" s="6" t="s">
        <v>288</v>
      </c>
      <c r="J213" s="36" t="s">
        <v>997</v>
      </c>
      <c r="K213" s="46" t="s">
        <v>998</v>
      </c>
      <c r="L213" s="49" t="s">
        <v>1000</v>
      </c>
      <c r="M213" s="50" t="s">
        <v>999</v>
      </c>
      <c r="S213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3" s="12" t="str">
        <f t="shared" si="105"/>
        <v>VALUES('08801179','NOVARTIS PHARMA (PAKISTAN) LIMITED','Salaam@123','Y','N',sysdate,'016', 'C', 'Client', 'syed_aqeel.ahmed@novartis.com','01','B', '08', 'ABDUL', sysdate, '10.6.100.63', '08801179');</v>
      </c>
      <c r="U213" s="12" t="str">
        <f t="shared" si="89"/>
        <v>INSERT INTO sy_user_branches (USER_CD, BRANCH_CODE, CLASS_CODE, ENT_BY, ENT_DATE, ENT_BY_IP)</v>
      </c>
      <c r="V213" s="12" t="str">
        <f t="shared" si="99"/>
        <v>values('08801179','01', '08', 'ABDUL', sysdate, '10.6.100.63');</v>
      </c>
      <c r="W213" s="12" t="str">
        <f t="shared" si="52"/>
        <v>INSERT INTO sy_perm_list (USER_CD, OPT_CD, ACCESS_TYPE, BRANCH_CODE, CLASS_CODE, ENT_BY, ENT_DATE, ENT_BY_IP)</v>
      </c>
      <c r="X213" s="12" t="str">
        <f t="shared" si="100"/>
        <v>VALUES('08801179','ClaimComments.aspx', 'USER', '01', '08', 'ABDUL', SYSDATE, '10.6.100.63');</v>
      </c>
      <c r="Y213" s="12" t="str">
        <f t="shared" si="54"/>
        <v>INSERT INTO sy_perm_list (USER_CD, OPT_CD, ACCESS_TYPE, BRANCH_CODE, CLASS_CODE, ENT_BY, ENT_DATE, ENT_BY_IP)</v>
      </c>
      <c r="Z213" s="12" t="str">
        <f t="shared" si="92"/>
        <v>VALUES('08801179','ClaimDocs.aspx', 'USER', '01', '08', 'ABDUL', SYSDATE, '10.6.100.63');</v>
      </c>
      <c r="AA213" s="12" t="str">
        <f t="shared" si="56"/>
        <v>INSERT INTO sy_perm_list (USER_CD, OPT_CD, ACCESS_TYPE, BRANCH_CODE, CLASS_CODE, ENT_BY, ENT_DATE, ENT_BY_IP)</v>
      </c>
      <c r="AB213" s="12" t="str">
        <f t="shared" si="93"/>
        <v>VALUES('08801179','Client.aspx', 'USER', '01', '08', 'ABDUL', SYSDATE, '10.6.100.63');</v>
      </c>
      <c r="AC213" s="12" t="str">
        <f t="shared" si="58"/>
        <v>INSERT INTO sy_perm_list (USER_CD, OPT_CD, ACCESS_TYPE, BRANCH_CODE, CLASS_CODE, ENT_BY, ENT_DATE, ENT_BY_IP)</v>
      </c>
      <c r="AD213" s="12" t="str">
        <f t="shared" si="94"/>
        <v>VALUES('08801179','ClientReports.aspx', 'USER', '01', '08', 'ABDUL', SYSDATE, '10.6.100.63');</v>
      </c>
      <c r="AE213" s="12" t="str">
        <f t="shared" si="60"/>
        <v>INSERT INTO sy_perm_list (USER_CD, OPT_CD, ACCESS_TYPE, BRANCH_CODE, CLASS_CODE, ENT_BY, ENT_DATE, ENT_BY_IP)</v>
      </c>
      <c r="AF213" s="12" t="str">
        <f t="shared" si="95"/>
        <v>VALUES('08801179','ClientRequests.aspx', 'USER', '01', '08', 'ABDUL', SYSDATE, '10.6.100.63');</v>
      </c>
      <c r="AG213" s="12" t="str">
        <f t="shared" si="62"/>
        <v>INSERT INTO sy_perm_list (USER_CD, OPT_CD, ACCESS_TYPE, BRANCH_CODE, CLASS_CODE, ENT_BY, ENT_DATE, ENT_BY_IP)</v>
      </c>
      <c r="AH213" s="12" t="str">
        <f t="shared" si="96"/>
        <v>VALUES('08801179','HealthLife.aspx', 'USER', '01', '08', 'ABDUL', SYSDATE, '10.6.100.63');</v>
      </c>
      <c r="AI213" s="12" t="str">
        <f t="shared" si="64"/>
        <v>INSERT INTO sy_perm_list (USER_CD, OPT_CD, ACCESS_TYPE, BRANCH_CODE, CLASS_CODE, ENT_BY, ENT_DATE, ENT_BY_IP)</v>
      </c>
      <c r="AJ213" s="12" t="str">
        <f t="shared" si="101"/>
        <v>VALUES('08801179','IpdClaim.aspx', 'USER', '01', '08', 'ABDUL', SYSDATE, '10.6.100.63');</v>
      </c>
      <c r="AK213" s="12" t="str">
        <f t="shared" si="66"/>
        <v>INSERT INTO sy_perm_list (USER_CD, OPT_CD, ACCESS_TYPE, BRANCH_CODE, CLASS_CODE, ENT_BY, ENT_DATE, ENT_BY_IP)</v>
      </c>
      <c r="AL213" s="12" t="str">
        <f t="shared" si="102"/>
        <v>VALUES('08801179','OpdClaim.aspx', 'USER', '01', '08', 'ABDUL', SYSDATE, '10.6.100.63');</v>
      </c>
      <c r="AM213" s="12" t="str">
        <f t="shared" si="68"/>
        <v>INSERT INTO sy_perm_list (USER_CD, OPT_CD, ACCESS_TYPE, BRANCH_CODE, CLASS_CODE, ENT_BY, ENT_DATE, ENT_BY_IP)</v>
      </c>
      <c r="AN213" s="12" t="str">
        <f t="shared" si="103"/>
        <v>VALUES('08801179','RequestDetails.aspx', 'USER', '01', '08', 'ABDUL', SYSDATE, '10.6.100.63');</v>
      </c>
      <c r="AO213" s="12" t="str">
        <f t="shared" si="70"/>
        <v>INSERT INTO sy_perm_list (USER_CD, OPT_CD, ACCESS_TYPE, BRANCH_CODE, CLASS_CODE, ENT_BY, ENT_DATE, ENT_BY_IP)</v>
      </c>
      <c r="AP213" s="12" t="str">
        <f t="shared" si="104"/>
        <v>VALUES('08801179','TodaysRequest.aspx', 'USER', '01', '08', 'ABDUL', SYSDATE, '10.6.100.63');</v>
      </c>
    </row>
    <row r="214" spans="2:42" ht="78" thickBot="1" x14ac:dyDescent="0.3">
      <c r="B214" s="37" t="s">
        <v>1006</v>
      </c>
      <c r="C214" s="36">
        <v>9000178</v>
      </c>
      <c r="F214" s="5" t="s">
        <v>287</v>
      </c>
      <c r="G214" s="6" t="s">
        <v>288</v>
      </c>
      <c r="J214" s="36" t="s">
        <v>1007</v>
      </c>
      <c r="K214" s="46" t="s">
        <v>1010</v>
      </c>
      <c r="L214" s="10" t="s">
        <v>1008</v>
      </c>
      <c r="M214" s="11" t="s">
        <v>1009</v>
      </c>
      <c r="S214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4" s="12" t="str">
        <f t="shared" si="105"/>
        <v>VALUES('08802268','R and I Electrical Appliances (Pvt) Ltd','Salaam@123','Y','N',sysdate,'016', 'C', 'Client', 'aleem@rni.com.pk','01','B', '08', 'ABDUL', sysdate, '10.6.100.63', '08802268');</v>
      </c>
      <c r="U214" s="12" t="str">
        <f t="shared" si="89"/>
        <v>INSERT INTO sy_user_branches (USER_CD, BRANCH_CODE, CLASS_CODE, ENT_BY, ENT_DATE, ENT_BY_IP)</v>
      </c>
      <c r="V214" s="12" t="str">
        <f t="shared" si="99"/>
        <v>values('08802268','01', '08', 'ABDUL', sysdate, '10.6.100.63');</v>
      </c>
      <c r="W214" s="12" t="str">
        <f t="shared" si="52"/>
        <v>INSERT INTO sy_perm_list (USER_CD, OPT_CD, ACCESS_TYPE, BRANCH_CODE, CLASS_CODE, ENT_BY, ENT_DATE, ENT_BY_IP)</v>
      </c>
      <c r="X214" s="12" t="str">
        <f t="shared" si="100"/>
        <v>VALUES('08802268','ClaimComments.aspx', 'USER', '01', '08', 'ABDUL', SYSDATE, '10.6.100.63');</v>
      </c>
      <c r="Y214" s="12" t="str">
        <f t="shared" si="54"/>
        <v>INSERT INTO sy_perm_list (USER_CD, OPT_CD, ACCESS_TYPE, BRANCH_CODE, CLASS_CODE, ENT_BY, ENT_DATE, ENT_BY_IP)</v>
      </c>
      <c r="Z214" s="12" t="str">
        <f t="shared" si="92"/>
        <v>VALUES('08802268','ClaimDocs.aspx', 'USER', '01', '08', 'ABDUL', SYSDATE, '10.6.100.63');</v>
      </c>
      <c r="AA214" s="12" t="str">
        <f t="shared" si="56"/>
        <v>INSERT INTO sy_perm_list (USER_CD, OPT_CD, ACCESS_TYPE, BRANCH_CODE, CLASS_CODE, ENT_BY, ENT_DATE, ENT_BY_IP)</v>
      </c>
      <c r="AB214" s="12" t="str">
        <f t="shared" si="93"/>
        <v>VALUES('08802268','Client.aspx', 'USER', '01', '08', 'ABDUL', SYSDATE, '10.6.100.63');</v>
      </c>
      <c r="AC214" s="12" t="str">
        <f t="shared" si="58"/>
        <v>INSERT INTO sy_perm_list (USER_CD, OPT_CD, ACCESS_TYPE, BRANCH_CODE, CLASS_CODE, ENT_BY, ENT_DATE, ENT_BY_IP)</v>
      </c>
      <c r="AD214" s="12" t="str">
        <f t="shared" si="94"/>
        <v>VALUES('08802268','ClientReports.aspx', 'USER', '01', '08', 'ABDUL', SYSDATE, '10.6.100.63');</v>
      </c>
      <c r="AE214" s="12" t="str">
        <f t="shared" si="60"/>
        <v>INSERT INTO sy_perm_list (USER_CD, OPT_CD, ACCESS_TYPE, BRANCH_CODE, CLASS_CODE, ENT_BY, ENT_DATE, ENT_BY_IP)</v>
      </c>
      <c r="AF214" s="12" t="str">
        <f t="shared" si="95"/>
        <v>VALUES('08802268','ClientRequests.aspx', 'USER', '01', '08', 'ABDUL', SYSDATE, '10.6.100.63');</v>
      </c>
      <c r="AG214" s="12" t="str">
        <f t="shared" si="62"/>
        <v>INSERT INTO sy_perm_list (USER_CD, OPT_CD, ACCESS_TYPE, BRANCH_CODE, CLASS_CODE, ENT_BY, ENT_DATE, ENT_BY_IP)</v>
      </c>
      <c r="AH214" s="12" t="str">
        <f t="shared" si="96"/>
        <v>VALUES('08802268','HealthLife.aspx', 'USER', '01', '08', 'ABDUL', SYSDATE, '10.6.100.63');</v>
      </c>
      <c r="AI214" s="12" t="str">
        <f t="shared" si="64"/>
        <v>INSERT INTO sy_perm_list (USER_CD, OPT_CD, ACCESS_TYPE, BRANCH_CODE, CLASS_CODE, ENT_BY, ENT_DATE, ENT_BY_IP)</v>
      </c>
      <c r="AJ214" s="12" t="str">
        <f t="shared" si="101"/>
        <v>VALUES('08802268','IpdClaim.aspx', 'USER', '01', '08', 'ABDUL', SYSDATE, '10.6.100.63');</v>
      </c>
      <c r="AK214" s="12" t="str">
        <f t="shared" si="66"/>
        <v>INSERT INTO sy_perm_list (USER_CD, OPT_CD, ACCESS_TYPE, BRANCH_CODE, CLASS_CODE, ENT_BY, ENT_DATE, ENT_BY_IP)</v>
      </c>
      <c r="AL214" s="12" t="str">
        <f t="shared" si="102"/>
        <v>VALUES('08802268','OpdClaim.aspx', 'USER', '01', '08', 'ABDUL', SYSDATE, '10.6.100.63');</v>
      </c>
      <c r="AM214" s="12" t="str">
        <f t="shared" si="68"/>
        <v>INSERT INTO sy_perm_list (USER_CD, OPT_CD, ACCESS_TYPE, BRANCH_CODE, CLASS_CODE, ENT_BY, ENT_DATE, ENT_BY_IP)</v>
      </c>
      <c r="AN214" s="12" t="str">
        <f t="shared" si="103"/>
        <v>VALUES('08802268','RequestDetails.aspx', 'USER', '01', '08', 'ABDUL', SYSDATE, '10.6.100.63');</v>
      </c>
      <c r="AO214" s="12" t="str">
        <f t="shared" si="70"/>
        <v>INSERT INTO sy_perm_list (USER_CD, OPT_CD, ACCESS_TYPE, BRANCH_CODE, CLASS_CODE, ENT_BY, ENT_DATE, ENT_BY_IP)</v>
      </c>
      <c r="AP214" s="12" t="str">
        <f t="shared" si="104"/>
        <v>VALUES('08802268','TodaysRequest.aspx', 'USER', '01', '08', 'ABDUL', SYSDATE, '10.6.100.63');</v>
      </c>
    </row>
    <row r="215" spans="2:42" ht="78" thickBot="1" x14ac:dyDescent="0.3">
      <c r="B215" s="37" t="s">
        <v>1011</v>
      </c>
      <c r="F215" s="5" t="s">
        <v>287</v>
      </c>
      <c r="G215" s="6" t="s">
        <v>288</v>
      </c>
      <c r="J215" s="36" t="s">
        <v>1012</v>
      </c>
      <c r="K215" s="6" t="s">
        <v>1013</v>
      </c>
      <c r="L215" s="36" t="s">
        <v>1015</v>
      </c>
      <c r="M215" s="42" t="s">
        <v>1014</v>
      </c>
      <c r="S215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5" s="12" t="str">
        <f t="shared" si="105"/>
        <v>VALUES('08802343','MIMA KNIT (PRIVATE) LIMITED','Salaam@123','Y','N',sysdate,'016', 'C', 'Client', 'hr@mimaknit.com','01','B', '08', 'ABDUL', sysdate, '10.6.100.63', '08802343');</v>
      </c>
      <c r="U215" s="12" t="str">
        <f t="shared" si="89"/>
        <v>INSERT INTO sy_user_branches (USER_CD, BRANCH_CODE, CLASS_CODE, ENT_BY, ENT_DATE, ENT_BY_IP)</v>
      </c>
      <c r="V215" s="12" t="str">
        <f t="shared" si="99"/>
        <v>values('08802343','01', '08', 'ABDUL', sysdate, '10.6.100.63');</v>
      </c>
      <c r="W215" s="12" t="str">
        <f t="shared" si="52"/>
        <v>INSERT INTO sy_perm_list (USER_CD, OPT_CD, ACCESS_TYPE, BRANCH_CODE, CLASS_CODE, ENT_BY, ENT_DATE, ENT_BY_IP)</v>
      </c>
      <c r="X215" s="12" t="str">
        <f t="shared" si="100"/>
        <v>VALUES('08802343','ClaimComments.aspx', 'USER', '01', '08', 'ABDUL', SYSDATE, '10.6.100.63');</v>
      </c>
      <c r="Y215" s="12" t="str">
        <f t="shared" si="54"/>
        <v>INSERT INTO sy_perm_list (USER_CD, OPT_CD, ACCESS_TYPE, BRANCH_CODE, CLASS_CODE, ENT_BY, ENT_DATE, ENT_BY_IP)</v>
      </c>
      <c r="Z215" s="12" t="str">
        <f t="shared" si="92"/>
        <v>VALUES('08802343','ClaimDocs.aspx', 'USER', '01', '08', 'ABDUL', SYSDATE, '10.6.100.63');</v>
      </c>
      <c r="AA215" s="12" t="str">
        <f t="shared" si="56"/>
        <v>INSERT INTO sy_perm_list (USER_CD, OPT_CD, ACCESS_TYPE, BRANCH_CODE, CLASS_CODE, ENT_BY, ENT_DATE, ENT_BY_IP)</v>
      </c>
      <c r="AB215" s="12" t="str">
        <f t="shared" si="93"/>
        <v>VALUES('08802343','Client.aspx', 'USER', '01', '08', 'ABDUL', SYSDATE, '10.6.100.63');</v>
      </c>
      <c r="AC215" s="12" t="str">
        <f t="shared" si="58"/>
        <v>INSERT INTO sy_perm_list (USER_CD, OPT_CD, ACCESS_TYPE, BRANCH_CODE, CLASS_CODE, ENT_BY, ENT_DATE, ENT_BY_IP)</v>
      </c>
      <c r="AD215" s="12" t="str">
        <f t="shared" si="94"/>
        <v>VALUES('08802343','ClientReports.aspx', 'USER', '01', '08', 'ABDUL', SYSDATE, '10.6.100.63');</v>
      </c>
      <c r="AE215" s="12" t="str">
        <f t="shared" si="60"/>
        <v>INSERT INTO sy_perm_list (USER_CD, OPT_CD, ACCESS_TYPE, BRANCH_CODE, CLASS_CODE, ENT_BY, ENT_DATE, ENT_BY_IP)</v>
      </c>
      <c r="AF215" s="12" t="str">
        <f t="shared" si="95"/>
        <v>VALUES('08802343','ClientRequests.aspx', 'USER', '01', '08', 'ABDUL', SYSDATE, '10.6.100.63');</v>
      </c>
      <c r="AG215" s="12" t="str">
        <f t="shared" si="62"/>
        <v>INSERT INTO sy_perm_list (USER_CD, OPT_CD, ACCESS_TYPE, BRANCH_CODE, CLASS_CODE, ENT_BY, ENT_DATE, ENT_BY_IP)</v>
      </c>
      <c r="AH215" s="12" t="str">
        <f t="shared" si="96"/>
        <v>VALUES('08802343','HealthLife.aspx', 'USER', '01', '08', 'ABDUL', SYSDATE, '10.6.100.63');</v>
      </c>
      <c r="AI215" s="12" t="str">
        <f t="shared" si="64"/>
        <v>INSERT INTO sy_perm_list (USER_CD, OPT_CD, ACCESS_TYPE, BRANCH_CODE, CLASS_CODE, ENT_BY, ENT_DATE, ENT_BY_IP)</v>
      </c>
      <c r="AJ215" s="12" t="str">
        <f t="shared" si="101"/>
        <v>VALUES('08802343','IpdClaim.aspx', 'USER', '01', '08', 'ABDUL', SYSDATE, '10.6.100.63');</v>
      </c>
      <c r="AK215" s="12" t="str">
        <f t="shared" si="66"/>
        <v>INSERT INTO sy_perm_list (USER_CD, OPT_CD, ACCESS_TYPE, BRANCH_CODE, CLASS_CODE, ENT_BY, ENT_DATE, ENT_BY_IP)</v>
      </c>
      <c r="AL215" s="12" t="str">
        <f t="shared" si="102"/>
        <v>VALUES('08802343','OpdClaim.aspx', 'USER', '01', '08', 'ABDUL', SYSDATE, '10.6.100.63');</v>
      </c>
      <c r="AM215" s="12" t="str">
        <f t="shared" si="68"/>
        <v>INSERT INTO sy_perm_list (USER_CD, OPT_CD, ACCESS_TYPE, BRANCH_CODE, CLASS_CODE, ENT_BY, ENT_DATE, ENT_BY_IP)</v>
      </c>
      <c r="AN215" s="12" t="str">
        <f t="shared" si="103"/>
        <v>VALUES('08802343','RequestDetails.aspx', 'USER', '01', '08', 'ABDUL', SYSDATE, '10.6.100.63');</v>
      </c>
      <c r="AO215" s="12" t="str">
        <f t="shared" si="70"/>
        <v>INSERT INTO sy_perm_list (USER_CD, OPT_CD, ACCESS_TYPE, BRANCH_CODE, CLASS_CODE, ENT_BY, ENT_DATE, ENT_BY_IP)</v>
      </c>
      <c r="AP215" s="12" t="str">
        <f t="shared" si="104"/>
        <v>VALUES('08802343','TodaysRequest.aspx', 'USER', '01', '08', 'ABDUL', SYSDATE, '10.6.100.63');</v>
      </c>
    </row>
    <row r="216" spans="2:42" ht="78" thickBot="1" x14ac:dyDescent="0.3">
      <c r="B216" s="37" t="s">
        <v>1016</v>
      </c>
      <c r="F216" s="5" t="s">
        <v>287</v>
      </c>
      <c r="G216" s="6" t="s">
        <v>288</v>
      </c>
      <c r="J216" s="6" t="s">
        <v>1018</v>
      </c>
      <c r="K216" s="36" t="s">
        <v>1020</v>
      </c>
      <c r="L216" s="51" t="s">
        <v>1019</v>
      </c>
      <c r="M216" s="11" t="s">
        <v>1017</v>
      </c>
      <c r="S216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6" s="12" t="str">
        <f t="shared" si="105"/>
        <v>VALUES('08802160','S.R TRADERS','Salaam@123','Y','N',sysdate,'016', 'C', 'Client', 'srt.vds@gmail.com','01','B', '08', 'ABDUL', sysdate, '10.6.100.63', '08802160');</v>
      </c>
      <c r="U216" s="12" t="str">
        <f t="shared" si="89"/>
        <v>INSERT INTO sy_user_branches (USER_CD, BRANCH_CODE, CLASS_CODE, ENT_BY, ENT_DATE, ENT_BY_IP)</v>
      </c>
      <c r="V216" s="12" t="str">
        <f t="shared" si="99"/>
        <v>values('08802160','01', '08', 'ABDUL', sysdate, '10.6.100.63');</v>
      </c>
      <c r="W216" s="12" t="str">
        <f t="shared" si="52"/>
        <v>INSERT INTO sy_perm_list (USER_CD, OPT_CD, ACCESS_TYPE, BRANCH_CODE, CLASS_CODE, ENT_BY, ENT_DATE, ENT_BY_IP)</v>
      </c>
      <c r="X216" s="12" t="str">
        <f t="shared" si="100"/>
        <v>VALUES('08802160','ClaimComments.aspx', 'USER', '01', '08', 'ABDUL', SYSDATE, '10.6.100.63');</v>
      </c>
      <c r="Y216" s="12" t="str">
        <f t="shared" si="54"/>
        <v>INSERT INTO sy_perm_list (USER_CD, OPT_CD, ACCESS_TYPE, BRANCH_CODE, CLASS_CODE, ENT_BY, ENT_DATE, ENT_BY_IP)</v>
      </c>
      <c r="Z216" s="12" t="str">
        <f t="shared" si="92"/>
        <v>VALUES('08802160','ClaimDocs.aspx', 'USER', '01', '08', 'ABDUL', SYSDATE, '10.6.100.63');</v>
      </c>
      <c r="AA216" s="12" t="str">
        <f t="shared" si="56"/>
        <v>INSERT INTO sy_perm_list (USER_CD, OPT_CD, ACCESS_TYPE, BRANCH_CODE, CLASS_CODE, ENT_BY, ENT_DATE, ENT_BY_IP)</v>
      </c>
      <c r="AB216" s="12" t="str">
        <f t="shared" si="93"/>
        <v>VALUES('08802160','Client.aspx', 'USER', '01', '08', 'ABDUL', SYSDATE, '10.6.100.63');</v>
      </c>
      <c r="AC216" s="12" t="str">
        <f t="shared" si="58"/>
        <v>INSERT INTO sy_perm_list (USER_CD, OPT_CD, ACCESS_TYPE, BRANCH_CODE, CLASS_CODE, ENT_BY, ENT_DATE, ENT_BY_IP)</v>
      </c>
      <c r="AD216" s="12" t="str">
        <f t="shared" si="94"/>
        <v>VALUES('08802160','ClientReports.aspx', 'USER', '01', '08', 'ABDUL', SYSDATE, '10.6.100.63');</v>
      </c>
      <c r="AE216" s="12" t="str">
        <f t="shared" si="60"/>
        <v>INSERT INTO sy_perm_list (USER_CD, OPT_CD, ACCESS_TYPE, BRANCH_CODE, CLASS_CODE, ENT_BY, ENT_DATE, ENT_BY_IP)</v>
      </c>
      <c r="AF216" s="12" t="str">
        <f t="shared" si="95"/>
        <v>VALUES('08802160','ClientRequests.aspx', 'USER', '01', '08', 'ABDUL', SYSDATE, '10.6.100.63');</v>
      </c>
      <c r="AG216" s="12" t="str">
        <f t="shared" si="62"/>
        <v>INSERT INTO sy_perm_list (USER_CD, OPT_CD, ACCESS_TYPE, BRANCH_CODE, CLASS_CODE, ENT_BY, ENT_DATE, ENT_BY_IP)</v>
      </c>
      <c r="AH216" s="12" t="str">
        <f t="shared" si="96"/>
        <v>VALUES('08802160','HealthLife.aspx', 'USER', '01', '08', 'ABDUL', SYSDATE, '10.6.100.63');</v>
      </c>
      <c r="AI216" s="12" t="str">
        <f t="shared" si="64"/>
        <v>INSERT INTO sy_perm_list (USER_CD, OPT_CD, ACCESS_TYPE, BRANCH_CODE, CLASS_CODE, ENT_BY, ENT_DATE, ENT_BY_IP)</v>
      </c>
      <c r="AJ216" s="12" t="str">
        <f t="shared" si="101"/>
        <v>VALUES('08802160','IpdClaim.aspx', 'USER', '01', '08', 'ABDUL', SYSDATE, '10.6.100.63');</v>
      </c>
      <c r="AK216" s="12" t="str">
        <f t="shared" si="66"/>
        <v>INSERT INTO sy_perm_list (USER_CD, OPT_CD, ACCESS_TYPE, BRANCH_CODE, CLASS_CODE, ENT_BY, ENT_DATE, ENT_BY_IP)</v>
      </c>
      <c r="AL216" s="12" t="str">
        <f t="shared" si="102"/>
        <v>VALUES('08802160','OpdClaim.aspx', 'USER', '01', '08', 'ABDUL', SYSDATE, '10.6.100.63');</v>
      </c>
      <c r="AM216" s="12" t="str">
        <f t="shared" si="68"/>
        <v>INSERT INTO sy_perm_list (USER_CD, OPT_CD, ACCESS_TYPE, BRANCH_CODE, CLASS_CODE, ENT_BY, ENT_DATE, ENT_BY_IP)</v>
      </c>
      <c r="AN216" s="12" t="str">
        <f t="shared" si="103"/>
        <v>VALUES('08802160','RequestDetails.aspx', 'USER', '01', '08', 'ABDUL', SYSDATE, '10.6.100.63');</v>
      </c>
      <c r="AO216" s="12" t="str">
        <f t="shared" si="70"/>
        <v>INSERT INTO sy_perm_list (USER_CD, OPT_CD, ACCESS_TYPE, BRANCH_CODE, CLASS_CODE, ENT_BY, ENT_DATE, ENT_BY_IP)</v>
      </c>
      <c r="AP216" s="12" t="str">
        <f t="shared" si="104"/>
        <v>VALUES('08802160','TodaysRequest.aspx', 'USER', '01', '08', 'ABDUL', SYSDATE, '10.6.100.63');</v>
      </c>
    </row>
    <row r="217" spans="2:42" ht="78" thickBot="1" x14ac:dyDescent="0.3">
      <c r="B217" s="37" t="s">
        <v>1021</v>
      </c>
      <c r="F217" s="5" t="s">
        <v>287</v>
      </c>
      <c r="G217" s="6" t="s">
        <v>288</v>
      </c>
      <c r="J217" s="36" t="s">
        <v>1022</v>
      </c>
      <c r="K217" s="36" t="s">
        <v>1023</v>
      </c>
      <c r="L217" s="46" t="s">
        <v>1024</v>
      </c>
      <c r="M217" s="42" t="s">
        <v>1025</v>
      </c>
      <c r="S217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7" s="12" t="str">
        <f t="shared" ref="T217:T236" si="106">"VALUES('"&amp;B217&amp;"','"&amp;K217&amp;"','Salaam@123','Y','N',sysdate,'016', 'C', 'Client', '"&amp;M217&amp;"','01','B', '08', 'ABDUL', sysdate, '10.6.100.63', '"&amp;B217&amp;"');"</f>
        <v>VALUES('08802393','Pakistan Synthetics Limited','Salaam@123','Y','N',sysdate,'016', 'C', 'Client', 'karim.lakhani@pslpet.com','01','B', '08', 'ABDUL', sysdate, '10.6.100.63', '08802393');</v>
      </c>
      <c r="U217" s="12" t="str">
        <f t="shared" si="89"/>
        <v>INSERT INTO sy_user_branches (USER_CD, BRANCH_CODE, CLASS_CODE, ENT_BY, ENT_DATE, ENT_BY_IP)</v>
      </c>
      <c r="V217" s="12" t="str">
        <f t="shared" si="99"/>
        <v>values('08802393','01', '08', 'ABDUL', sysdate, '10.6.100.63');</v>
      </c>
      <c r="W217" s="12" t="str">
        <f t="shared" si="52"/>
        <v>INSERT INTO sy_perm_list (USER_CD, OPT_CD, ACCESS_TYPE, BRANCH_CODE, CLASS_CODE, ENT_BY, ENT_DATE, ENT_BY_IP)</v>
      </c>
      <c r="X217" s="12" t="str">
        <f t="shared" si="100"/>
        <v>VALUES('08802393','ClaimComments.aspx', 'USER', '01', '08', 'ABDUL', SYSDATE, '10.6.100.63');</v>
      </c>
      <c r="Y217" s="12" t="str">
        <f t="shared" si="54"/>
        <v>INSERT INTO sy_perm_list (USER_CD, OPT_CD, ACCESS_TYPE, BRANCH_CODE, CLASS_CODE, ENT_BY, ENT_DATE, ENT_BY_IP)</v>
      </c>
      <c r="Z217" s="12" t="str">
        <f t="shared" si="92"/>
        <v>VALUES('08802393','ClaimDocs.aspx', 'USER', '01', '08', 'ABDUL', SYSDATE, '10.6.100.63');</v>
      </c>
      <c r="AA217" s="12" t="str">
        <f t="shared" si="56"/>
        <v>INSERT INTO sy_perm_list (USER_CD, OPT_CD, ACCESS_TYPE, BRANCH_CODE, CLASS_CODE, ENT_BY, ENT_DATE, ENT_BY_IP)</v>
      </c>
      <c r="AB217" s="12" t="str">
        <f t="shared" si="93"/>
        <v>VALUES('08802393','Client.aspx', 'USER', '01', '08', 'ABDUL', SYSDATE, '10.6.100.63');</v>
      </c>
      <c r="AC217" s="12" t="str">
        <f t="shared" si="58"/>
        <v>INSERT INTO sy_perm_list (USER_CD, OPT_CD, ACCESS_TYPE, BRANCH_CODE, CLASS_CODE, ENT_BY, ENT_DATE, ENT_BY_IP)</v>
      </c>
      <c r="AD217" s="12" t="str">
        <f t="shared" si="94"/>
        <v>VALUES('08802393','ClientReports.aspx', 'USER', '01', '08', 'ABDUL', SYSDATE, '10.6.100.63');</v>
      </c>
      <c r="AE217" s="12" t="str">
        <f t="shared" si="60"/>
        <v>INSERT INTO sy_perm_list (USER_CD, OPT_CD, ACCESS_TYPE, BRANCH_CODE, CLASS_CODE, ENT_BY, ENT_DATE, ENT_BY_IP)</v>
      </c>
      <c r="AF217" s="12" t="str">
        <f t="shared" si="95"/>
        <v>VALUES('08802393','ClientRequests.aspx', 'USER', '01', '08', 'ABDUL', SYSDATE, '10.6.100.63');</v>
      </c>
      <c r="AG217" s="12" t="str">
        <f t="shared" si="62"/>
        <v>INSERT INTO sy_perm_list (USER_CD, OPT_CD, ACCESS_TYPE, BRANCH_CODE, CLASS_CODE, ENT_BY, ENT_DATE, ENT_BY_IP)</v>
      </c>
      <c r="AH217" s="12" t="str">
        <f t="shared" si="96"/>
        <v>VALUES('08802393','HealthLife.aspx', 'USER', '01', '08', 'ABDUL', SYSDATE, '10.6.100.63');</v>
      </c>
      <c r="AI217" s="12" t="str">
        <f t="shared" si="64"/>
        <v>INSERT INTO sy_perm_list (USER_CD, OPT_CD, ACCESS_TYPE, BRANCH_CODE, CLASS_CODE, ENT_BY, ENT_DATE, ENT_BY_IP)</v>
      </c>
      <c r="AJ217" s="12" t="str">
        <f t="shared" si="101"/>
        <v>VALUES('08802393','IpdClaim.aspx', 'USER', '01', '08', 'ABDUL', SYSDATE, '10.6.100.63');</v>
      </c>
      <c r="AK217" s="12" t="str">
        <f t="shared" si="66"/>
        <v>INSERT INTO sy_perm_list (USER_CD, OPT_CD, ACCESS_TYPE, BRANCH_CODE, CLASS_CODE, ENT_BY, ENT_DATE, ENT_BY_IP)</v>
      </c>
      <c r="AL217" s="12" t="str">
        <f t="shared" si="102"/>
        <v>VALUES('08802393','OpdClaim.aspx', 'USER', '01', '08', 'ABDUL', SYSDATE, '10.6.100.63');</v>
      </c>
      <c r="AM217" s="12" t="str">
        <f t="shared" si="68"/>
        <v>INSERT INTO sy_perm_list (USER_CD, OPT_CD, ACCESS_TYPE, BRANCH_CODE, CLASS_CODE, ENT_BY, ENT_DATE, ENT_BY_IP)</v>
      </c>
      <c r="AN217" s="12" t="str">
        <f t="shared" si="103"/>
        <v>VALUES('08802393','RequestDetails.aspx', 'USER', '01', '08', 'ABDUL', SYSDATE, '10.6.100.63');</v>
      </c>
      <c r="AO217" s="12" t="str">
        <f t="shared" si="70"/>
        <v>INSERT INTO sy_perm_list (USER_CD, OPT_CD, ACCESS_TYPE, BRANCH_CODE, CLASS_CODE, ENT_BY, ENT_DATE, ENT_BY_IP)</v>
      </c>
      <c r="AP217" s="12" t="str">
        <f t="shared" si="104"/>
        <v>VALUES('08802393','TodaysRequest.aspx', 'USER', '01', '08', 'ABDUL', SYSDATE, '10.6.100.63');</v>
      </c>
    </row>
    <row r="218" spans="2:42" ht="78" thickBot="1" x14ac:dyDescent="0.3">
      <c r="B218" s="37" t="s">
        <v>1026</v>
      </c>
      <c r="F218" s="5" t="s">
        <v>287</v>
      </c>
      <c r="G218" s="6" t="s">
        <v>288</v>
      </c>
      <c r="J218" s="36" t="s">
        <v>1027</v>
      </c>
      <c r="K218" s="51" t="s">
        <v>1028</v>
      </c>
      <c r="L218" s="36" t="s">
        <v>1029</v>
      </c>
      <c r="M218" s="11" t="s">
        <v>1030</v>
      </c>
      <c r="S218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8" s="12" t="str">
        <f t="shared" si="106"/>
        <v>VALUES('08802325','Sindh Madresatul Islam University','Salaam@123','Y','N',sysdate,'016', 'C', 'Client', 'kashifjan@smiu.edu.pk','01','B', '08', 'ABDUL', sysdate, '10.6.100.63', '08802325');</v>
      </c>
      <c r="U218" s="12" t="str">
        <f t="shared" si="89"/>
        <v>INSERT INTO sy_user_branches (USER_CD, BRANCH_CODE, CLASS_CODE, ENT_BY, ENT_DATE, ENT_BY_IP)</v>
      </c>
      <c r="V218" s="12" t="str">
        <f t="shared" si="99"/>
        <v>values('08802325','01', '08', 'ABDUL', sysdate, '10.6.100.63');</v>
      </c>
      <c r="W218" s="12" t="str">
        <f t="shared" si="52"/>
        <v>INSERT INTO sy_perm_list (USER_CD, OPT_CD, ACCESS_TYPE, BRANCH_CODE, CLASS_CODE, ENT_BY, ENT_DATE, ENT_BY_IP)</v>
      </c>
      <c r="X218" s="12" t="str">
        <f t="shared" si="100"/>
        <v>VALUES('08802325','ClaimComments.aspx', 'USER', '01', '08', 'ABDUL', SYSDATE, '10.6.100.63');</v>
      </c>
      <c r="Y218" s="12" t="str">
        <f t="shared" si="54"/>
        <v>INSERT INTO sy_perm_list (USER_CD, OPT_CD, ACCESS_TYPE, BRANCH_CODE, CLASS_CODE, ENT_BY, ENT_DATE, ENT_BY_IP)</v>
      </c>
      <c r="Z218" s="12" t="str">
        <f t="shared" si="92"/>
        <v>VALUES('08802325','ClaimDocs.aspx', 'USER', '01', '08', 'ABDUL', SYSDATE, '10.6.100.63');</v>
      </c>
      <c r="AA218" s="12" t="str">
        <f t="shared" si="56"/>
        <v>INSERT INTO sy_perm_list (USER_CD, OPT_CD, ACCESS_TYPE, BRANCH_CODE, CLASS_CODE, ENT_BY, ENT_DATE, ENT_BY_IP)</v>
      </c>
      <c r="AB218" s="12" t="str">
        <f t="shared" si="93"/>
        <v>VALUES('08802325','Client.aspx', 'USER', '01', '08', 'ABDUL', SYSDATE, '10.6.100.63');</v>
      </c>
      <c r="AC218" s="12" t="str">
        <f t="shared" si="58"/>
        <v>INSERT INTO sy_perm_list (USER_CD, OPT_CD, ACCESS_TYPE, BRANCH_CODE, CLASS_CODE, ENT_BY, ENT_DATE, ENT_BY_IP)</v>
      </c>
      <c r="AD218" s="12" t="str">
        <f t="shared" si="94"/>
        <v>VALUES('08802325','ClientReports.aspx', 'USER', '01', '08', 'ABDUL', SYSDATE, '10.6.100.63');</v>
      </c>
      <c r="AE218" s="12" t="str">
        <f t="shared" si="60"/>
        <v>INSERT INTO sy_perm_list (USER_CD, OPT_CD, ACCESS_TYPE, BRANCH_CODE, CLASS_CODE, ENT_BY, ENT_DATE, ENT_BY_IP)</v>
      </c>
      <c r="AF218" s="12" t="str">
        <f t="shared" si="95"/>
        <v>VALUES('08802325','ClientRequests.aspx', 'USER', '01', '08', 'ABDUL', SYSDATE, '10.6.100.63');</v>
      </c>
      <c r="AG218" s="12" t="str">
        <f t="shared" si="62"/>
        <v>INSERT INTO sy_perm_list (USER_CD, OPT_CD, ACCESS_TYPE, BRANCH_CODE, CLASS_CODE, ENT_BY, ENT_DATE, ENT_BY_IP)</v>
      </c>
      <c r="AH218" s="12" t="str">
        <f t="shared" si="96"/>
        <v>VALUES('08802325','HealthLife.aspx', 'USER', '01', '08', 'ABDUL', SYSDATE, '10.6.100.63');</v>
      </c>
      <c r="AI218" s="12" t="str">
        <f t="shared" si="64"/>
        <v>INSERT INTO sy_perm_list (USER_CD, OPT_CD, ACCESS_TYPE, BRANCH_CODE, CLASS_CODE, ENT_BY, ENT_DATE, ENT_BY_IP)</v>
      </c>
      <c r="AJ218" s="12" t="str">
        <f t="shared" si="101"/>
        <v>VALUES('08802325','IpdClaim.aspx', 'USER', '01', '08', 'ABDUL', SYSDATE, '10.6.100.63');</v>
      </c>
      <c r="AK218" s="12" t="str">
        <f t="shared" si="66"/>
        <v>INSERT INTO sy_perm_list (USER_CD, OPT_CD, ACCESS_TYPE, BRANCH_CODE, CLASS_CODE, ENT_BY, ENT_DATE, ENT_BY_IP)</v>
      </c>
      <c r="AL218" s="12" t="str">
        <f t="shared" si="102"/>
        <v>VALUES('08802325','OpdClaim.aspx', 'USER', '01', '08', 'ABDUL', SYSDATE, '10.6.100.63');</v>
      </c>
      <c r="AM218" s="12" t="str">
        <f t="shared" si="68"/>
        <v>INSERT INTO sy_perm_list (USER_CD, OPT_CD, ACCESS_TYPE, BRANCH_CODE, CLASS_CODE, ENT_BY, ENT_DATE, ENT_BY_IP)</v>
      </c>
      <c r="AN218" s="12" t="str">
        <f t="shared" si="103"/>
        <v>VALUES('08802325','RequestDetails.aspx', 'USER', '01', '08', 'ABDUL', SYSDATE, '10.6.100.63');</v>
      </c>
      <c r="AO218" s="12" t="str">
        <f t="shared" si="70"/>
        <v>INSERT INTO sy_perm_list (USER_CD, OPT_CD, ACCESS_TYPE, BRANCH_CODE, CLASS_CODE, ENT_BY, ENT_DATE, ENT_BY_IP)</v>
      </c>
      <c r="AP218" s="12" t="str">
        <f t="shared" si="104"/>
        <v>VALUES('08802325','TodaysRequest.aspx', 'USER', '01', '08', 'ABDUL', SYSDATE, '10.6.100.63');</v>
      </c>
    </row>
    <row r="219" spans="2:42" ht="78" thickBot="1" x14ac:dyDescent="0.3">
      <c r="B219" s="37" t="s">
        <v>1031</v>
      </c>
      <c r="F219" s="5" t="s">
        <v>287</v>
      </c>
      <c r="G219" s="6" t="s">
        <v>288</v>
      </c>
      <c r="J219" s="36" t="s">
        <v>1032</v>
      </c>
      <c r="K219" s="36" t="s">
        <v>1033</v>
      </c>
      <c r="L219" s="46" t="s">
        <v>1034</v>
      </c>
      <c r="M219" s="42" t="s">
        <v>1035</v>
      </c>
      <c r="O219" s="52">
        <v>44409</v>
      </c>
      <c r="P219" s="53">
        <v>44773</v>
      </c>
      <c r="S219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19" s="12" t="str">
        <f t="shared" si="106"/>
        <v>VALUES('08802369','The Institute of Chartered Accountants of Pakistan-Benevolent Fund','Salaam@123','Y','N',sysdate,'016', 'C', 'Client', 'bfund@icap.org.pk','01','B', '08', 'ABDUL', sysdate, '10.6.100.63', '08802369');</v>
      </c>
      <c r="U219" s="12" t="str">
        <f t="shared" si="89"/>
        <v>INSERT INTO sy_user_branches (USER_CD, BRANCH_CODE, CLASS_CODE, ENT_BY, ENT_DATE, ENT_BY_IP)</v>
      </c>
      <c r="V219" s="12" t="str">
        <f t="shared" si="99"/>
        <v>values('08802369','01', '08', 'ABDUL', sysdate, '10.6.100.63');</v>
      </c>
      <c r="W219" s="12" t="str">
        <f t="shared" si="52"/>
        <v>INSERT INTO sy_perm_list (USER_CD, OPT_CD, ACCESS_TYPE, BRANCH_CODE, CLASS_CODE, ENT_BY, ENT_DATE, ENT_BY_IP)</v>
      </c>
      <c r="X219" s="12" t="str">
        <f t="shared" si="100"/>
        <v>VALUES('08802369','ClaimComments.aspx', 'USER', '01', '08', 'ABDUL', SYSDATE, '10.6.100.63');</v>
      </c>
      <c r="Y219" s="12" t="str">
        <f t="shared" si="54"/>
        <v>INSERT INTO sy_perm_list (USER_CD, OPT_CD, ACCESS_TYPE, BRANCH_CODE, CLASS_CODE, ENT_BY, ENT_DATE, ENT_BY_IP)</v>
      </c>
      <c r="Z219" s="12" t="str">
        <f t="shared" si="92"/>
        <v>VALUES('08802369','ClaimDocs.aspx', 'USER', '01', '08', 'ABDUL', SYSDATE, '10.6.100.63');</v>
      </c>
      <c r="AA219" s="12" t="str">
        <f t="shared" si="56"/>
        <v>INSERT INTO sy_perm_list (USER_CD, OPT_CD, ACCESS_TYPE, BRANCH_CODE, CLASS_CODE, ENT_BY, ENT_DATE, ENT_BY_IP)</v>
      </c>
      <c r="AB219" s="12" t="str">
        <f t="shared" si="93"/>
        <v>VALUES('08802369','Client.aspx', 'USER', '01', '08', 'ABDUL', SYSDATE, '10.6.100.63');</v>
      </c>
      <c r="AC219" s="12" t="str">
        <f t="shared" si="58"/>
        <v>INSERT INTO sy_perm_list (USER_CD, OPT_CD, ACCESS_TYPE, BRANCH_CODE, CLASS_CODE, ENT_BY, ENT_DATE, ENT_BY_IP)</v>
      </c>
      <c r="AD219" s="12" t="str">
        <f t="shared" si="94"/>
        <v>VALUES('08802369','ClientReports.aspx', 'USER', '01', '08', 'ABDUL', SYSDATE, '10.6.100.63');</v>
      </c>
      <c r="AE219" s="12" t="str">
        <f t="shared" si="60"/>
        <v>INSERT INTO sy_perm_list (USER_CD, OPT_CD, ACCESS_TYPE, BRANCH_CODE, CLASS_CODE, ENT_BY, ENT_DATE, ENT_BY_IP)</v>
      </c>
      <c r="AF219" s="12" t="str">
        <f t="shared" si="95"/>
        <v>VALUES('08802369','ClientRequests.aspx', 'USER', '01', '08', 'ABDUL', SYSDATE, '10.6.100.63');</v>
      </c>
      <c r="AG219" s="12" t="str">
        <f t="shared" si="62"/>
        <v>INSERT INTO sy_perm_list (USER_CD, OPT_CD, ACCESS_TYPE, BRANCH_CODE, CLASS_CODE, ENT_BY, ENT_DATE, ENT_BY_IP)</v>
      </c>
      <c r="AH219" s="12" t="str">
        <f t="shared" si="96"/>
        <v>VALUES('08802369','HealthLife.aspx', 'USER', '01', '08', 'ABDUL', SYSDATE, '10.6.100.63');</v>
      </c>
      <c r="AI219" s="12" t="str">
        <f t="shared" si="64"/>
        <v>INSERT INTO sy_perm_list (USER_CD, OPT_CD, ACCESS_TYPE, BRANCH_CODE, CLASS_CODE, ENT_BY, ENT_DATE, ENT_BY_IP)</v>
      </c>
      <c r="AJ219" s="12" t="str">
        <f t="shared" si="101"/>
        <v>VALUES('08802369','IpdClaim.aspx', 'USER', '01', '08', 'ABDUL', SYSDATE, '10.6.100.63');</v>
      </c>
      <c r="AK219" s="12" t="str">
        <f t="shared" si="66"/>
        <v>INSERT INTO sy_perm_list (USER_CD, OPT_CD, ACCESS_TYPE, BRANCH_CODE, CLASS_CODE, ENT_BY, ENT_DATE, ENT_BY_IP)</v>
      </c>
      <c r="AL219" s="12" t="str">
        <f t="shared" si="102"/>
        <v>VALUES('08802369','OpdClaim.aspx', 'USER', '01', '08', 'ABDUL', SYSDATE, '10.6.100.63');</v>
      </c>
      <c r="AM219" s="12" t="str">
        <f t="shared" si="68"/>
        <v>INSERT INTO sy_perm_list (USER_CD, OPT_CD, ACCESS_TYPE, BRANCH_CODE, CLASS_CODE, ENT_BY, ENT_DATE, ENT_BY_IP)</v>
      </c>
      <c r="AN219" s="12" t="str">
        <f t="shared" si="103"/>
        <v>VALUES('08802369','RequestDetails.aspx', 'USER', '01', '08', 'ABDUL', SYSDATE, '10.6.100.63');</v>
      </c>
      <c r="AO219" s="12" t="str">
        <f t="shared" si="70"/>
        <v>INSERT INTO sy_perm_list (USER_CD, OPT_CD, ACCESS_TYPE, BRANCH_CODE, CLASS_CODE, ENT_BY, ENT_DATE, ENT_BY_IP)</v>
      </c>
      <c r="AP219" s="12" t="str">
        <f t="shared" si="104"/>
        <v>VALUES('08802369','TodaysRequest.aspx', 'USER', '01', '08', 'ABDUL', SYSDATE, '10.6.100.63');</v>
      </c>
    </row>
    <row r="220" spans="2:42" ht="90.75" thickBot="1" x14ac:dyDescent="0.3">
      <c r="B220" s="37" t="s">
        <v>1037</v>
      </c>
      <c r="F220" s="5" t="s">
        <v>287</v>
      </c>
      <c r="G220" s="6" t="s">
        <v>288</v>
      </c>
      <c r="J220" s="54" t="s">
        <v>1038</v>
      </c>
      <c r="K220" s="54" t="s">
        <v>1039</v>
      </c>
      <c r="L220" s="54" t="s">
        <v>193</v>
      </c>
      <c r="M220" s="55" t="s">
        <v>194</v>
      </c>
      <c r="S220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0" s="12" t="str">
        <f t="shared" si="106"/>
        <v>VALUES('08802226','Iqvia Solutions Pakistan (Private) Limited','Salaam@123','Y','N',sysdate,'016', 'C', 'Client', 'muhammad.farhan@uniqueinsurancebrokers.com','01','B', '08', 'ABDUL', sysdate, '10.6.100.63', '08802226');</v>
      </c>
      <c r="U220" s="12" t="str">
        <f t="shared" si="89"/>
        <v>INSERT INTO sy_user_branches (USER_CD, BRANCH_CODE, CLASS_CODE, ENT_BY, ENT_DATE, ENT_BY_IP)</v>
      </c>
      <c r="V220" s="12" t="str">
        <f t="shared" si="99"/>
        <v>values('08802226','01', '08', 'ABDUL', sysdate, '10.6.100.63');</v>
      </c>
      <c r="W220" s="12" t="str">
        <f t="shared" si="52"/>
        <v>INSERT INTO sy_perm_list (USER_CD, OPT_CD, ACCESS_TYPE, BRANCH_CODE, CLASS_CODE, ENT_BY, ENT_DATE, ENT_BY_IP)</v>
      </c>
      <c r="X220" s="12" t="str">
        <f t="shared" si="100"/>
        <v>VALUES('08802226','ClaimComments.aspx', 'USER', '01', '08', 'ABDUL', SYSDATE, '10.6.100.63');</v>
      </c>
      <c r="Y220" s="12" t="str">
        <f t="shared" si="54"/>
        <v>INSERT INTO sy_perm_list (USER_CD, OPT_CD, ACCESS_TYPE, BRANCH_CODE, CLASS_CODE, ENT_BY, ENT_DATE, ENT_BY_IP)</v>
      </c>
      <c r="Z220" s="12" t="str">
        <f t="shared" ref="Z220:Z236" si="107">"VALUES('"&amp;B220&amp;"','ClaimDocs.aspx', 'USER', '01', '08', 'ABDUL', SYSDATE, '10.6.100.63');"</f>
        <v>VALUES('08802226','ClaimDocs.aspx', 'USER', '01', '08', 'ABDUL', SYSDATE, '10.6.100.63');</v>
      </c>
      <c r="AA220" s="12" t="str">
        <f t="shared" si="56"/>
        <v>INSERT INTO sy_perm_list (USER_CD, OPT_CD, ACCESS_TYPE, BRANCH_CODE, CLASS_CODE, ENT_BY, ENT_DATE, ENT_BY_IP)</v>
      </c>
      <c r="AB220" s="12" t="str">
        <f t="shared" si="93"/>
        <v>VALUES('08802226','Client.aspx', 'USER', '01', '08', 'ABDUL', SYSDATE, '10.6.100.63');</v>
      </c>
      <c r="AC220" s="12" t="str">
        <f t="shared" si="58"/>
        <v>INSERT INTO sy_perm_list (USER_CD, OPT_CD, ACCESS_TYPE, BRANCH_CODE, CLASS_CODE, ENT_BY, ENT_DATE, ENT_BY_IP)</v>
      </c>
      <c r="AD220" s="12" t="str">
        <f t="shared" si="94"/>
        <v>VALUES('08802226','ClientReports.aspx', 'USER', '01', '08', 'ABDUL', SYSDATE, '10.6.100.63');</v>
      </c>
      <c r="AE220" s="12" t="str">
        <f t="shared" si="60"/>
        <v>INSERT INTO sy_perm_list (USER_CD, OPT_CD, ACCESS_TYPE, BRANCH_CODE, CLASS_CODE, ENT_BY, ENT_DATE, ENT_BY_IP)</v>
      </c>
      <c r="AF220" s="12" t="str">
        <f t="shared" si="95"/>
        <v>VALUES('08802226','ClientRequests.aspx', 'USER', '01', '08', 'ABDUL', SYSDATE, '10.6.100.63');</v>
      </c>
      <c r="AG220" s="12" t="str">
        <f t="shared" si="62"/>
        <v>INSERT INTO sy_perm_list (USER_CD, OPT_CD, ACCESS_TYPE, BRANCH_CODE, CLASS_CODE, ENT_BY, ENT_DATE, ENT_BY_IP)</v>
      </c>
      <c r="AH220" s="12" t="str">
        <f t="shared" si="96"/>
        <v>VALUES('08802226','HealthLife.aspx', 'USER', '01', '08', 'ABDUL', SYSDATE, '10.6.100.63');</v>
      </c>
      <c r="AI220" s="12" t="str">
        <f t="shared" si="64"/>
        <v>INSERT INTO sy_perm_list (USER_CD, OPT_CD, ACCESS_TYPE, BRANCH_CODE, CLASS_CODE, ENT_BY, ENT_DATE, ENT_BY_IP)</v>
      </c>
      <c r="AJ220" s="12" t="str">
        <f t="shared" si="101"/>
        <v>VALUES('08802226','IpdClaim.aspx', 'USER', '01', '08', 'ABDUL', SYSDATE, '10.6.100.63');</v>
      </c>
      <c r="AK220" s="12" t="str">
        <f t="shared" si="66"/>
        <v>INSERT INTO sy_perm_list (USER_CD, OPT_CD, ACCESS_TYPE, BRANCH_CODE, CLASS_CODE, ENT_BY, ENT_DATE, ENT_BY_IP)</v>
      </c>
      <c r="AL220" s="12" t="str">
        <f t="shared" si="102"/>
        <v>VALUES('08802226','OpdClaim.aspx', 'USER', '01', '08', 'ABDUL', SYSDATE, '10.6.100.63');</v>
      </c>
      <c r="AM220" s="12" t="str">
        <f t="shared" si="68"/>
        <v>INSERT INTO sy_perm_list (USER_CD, OPT_CD, ACCESS_TYPE, BRANCH_CODE, CLASS_CODE, ENT_BY, ENT_DATE, ENT_BY_IP)</v>
      </c>
      <c r="AN220" s="12" t="str">
        <f t="shared" si="103"/>
        <v>VALUES('08802226','RequestDetails.aspx', 'USER', '01', '08', 'ABDUL', SYSDATE, '10.6.100.63');</v>
      </c>
      <c r="AO220" s="12" t="str">
        <f t="shared" si="70"/>
        <v>INSERT INTO sy_perm_list (USER_CD, OPT_CD, ACCESS_TYPE, BRANCH_CODE, CLASS_CODE, ENT_BY, ENT_DATE, ENT_BY_IP)</v>
      </c>
      <c r="AP220" s="12" t="str">
        <f t="shared" si="104"/>
        <v>VALUES('08802226','TodaysRequest.aspx', 'USER', '01', '08', 'ABDUL', SYSDATE, '10.6.100.63');</v>
      </c>
    </row>
    <row r="221" spans="2:42" ht="78" thickBot="1" x14ac:dyDescent="0.3">
      <c r="B221" s="56" t="s">
        <v>1040</v>
      </c>
      <c r="C221" s="37" t="s">
        <v>1049</v>
      </c>
      <c r="F221" s="5" t="s">
        <v>287</v>
      </c>
      <c r="G221" s="6" t="s">
        <v>288</v>
      </c>
      <c r="J221" s="46" t="s">
        <v>1043</v>
      </c>
      <c r="K221" s="46" t="s">
        <v>1046</v>
      </c>
      <c r="L221" s="49" t="s">
        <v>1051</v>
      </c>
      <c r="M221" s="50" t="s">
        <v>1050</v>
      </c>
      <c r="O221" s="57">
        <v>44409</v>
      </c>
      <c r="P221" s="57">
        <v>44773</v>
      </c>
      <c r="S221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1" s="12" t="str">
        <f t="shared" si="106"/>
        <v>VALUES('08802411','The Looks (Pvt.) Limited','Salaam@123','Y','N',sysdate,'016', 'C', 'Client', 'medical.mgc@mgcpakistan.com','01','B', '08', 'ABDUL', sysdate, '10.6.100.63', '08802411');</v>
      </c>
      <c r="U221" s="12" t="str">
        <f t="shared" si="89"/>
        <v>INSERT INTO sy_user_branches (USER_CD, BRANCH_CODE, CLASS_CODE, ENT_BY, ENT_DATE, ENT_BY_IP)</v>
      </c>
      <c r="V221" s="12" t="str">
        <f t="shared" si="99"/>
        <v>values('08802411','01', '08', 'ABDUL', sysdate, '10.6.100.63');</v>
      </c>
      <c r="W221" s="12" t="str">
        <f t="shared" si="52"/>
        <v>INSERT INTO sy_perm_list (USER_CD, OPT_CD, ACCESS_TYPE, BRANCH_CODE, CLASS_CODE, ENT_BY, ENT_DATE, ENT_BY_IP)</v>
      </c>
      <c r="X221" s="12" t="str">
        <f t="shared" si="100"/>
        <v>VALUES('08802411','ClaimComments.aspx', 'USER', '01', '08', 'ABDUL', SYSDATE, '10.6.100.63');</v>
      </c>
      <c r="Y221" s="12" t="str">
        <f t="shared" si="54"/>
        <v>INSERT INTO sy_perm_list (USER_CD, OPT_CD, ACCESS_TYPE, BRANCH_CODE, CLASS_CODE, ENT_BY, ENT_DATE, ENT_BY_IP)</v>
      </c>
      <c r="Z221" s="12" t="str">
        <f t="shared" si="107"/>
        <v>VALUES('08802411','ClaimDocs.aspx', 'USER', '01', '08', 'ABDUL', SYSDATE, '10.6.100.63');</v>
      </c>
      <c r="AA221" s="12" t="str">
        <f t="shared" si="56"/>
        <v>INSERT INTO sy_perm_list (USER_CD, OPT_CD, ACCESS_TYPE, BRANCH_CODE, CLASS_CODE, ENT_BY, ENT_DATE, ENT_BY_IP)</v>
      </c>
      <c r="AB221" s="12" t="str">
        <f t="shared" si="93"/>
        <v>VALUES('08802411','Client.aspx', 'USER', '01', '08', 'ABDUL', SYSDATE, '10.6.100.63');</v>
      </c>
      <c r="AC221" s="12" t="str">
        <f t="shared" si="58"/>
        <v>INSERT INTO sy_perm_list (USER_CD, OPT_CD, ACCESS_TYPE, BRANCH_CODE, CLASS_CODE, ENT_BY, ENT_DATE, ENT_BY_IP)</v>
      </c>
      <c r="AD221" s="12" t="str">
        <f t="shared" si="94"/>
        <v>VALUES('08802411','ClientReports.aspx', 'USER', '01', '08', 'ABDUL', SYSDATE, '10.6.100.63');</v>
      </c>
      <c r="AE221" s="12" t="str">
        <f t="shared" si="60"/>
        <v>INSERT INTO sy_perm_list (USER_CD, OPT_CD, ACCESS_TYPE, BRANCH_CODE, CLASS_CODE, ENT_BY, ENT_DATE, ENT_BY_IP)</v>
      </c>
      <c r="AF221" s="12" t="str">
        <f t="shared" si="95"/>
        <v>VALUES('08802411','ClientRequests.aspx', 'USER', '01', '08', 'ABDUL', SYSDATE, '10.6.100.63');</v>
      </c>
      <c r="AG221" s="12" t="str">
        <f t="shared" si="62"/>
        <v>INSERT INTO sy_perm_list (USER_CD, OPT_CD, ACCESS_TYPE, BRANCH_CODE, CLASS_CODE, ENT_BY, ENT_DATE, ENT_BY_IP)</v>
      </c>
      <c r="AH221" s="12" t="str">
        <f t="shared" si="96"/>
        <v>VALUES('08802411','HealthLife.aspx', 'USER', '01', '08', 'ABDUL', SYSDATE, '10.6.100.63');</v>
      </c>
      <c r="AI221" s="12" t="str">
        <f t="shared" si="64"/>
        <v>INSERT INTO sy_perm_list (USER_CD, OPT_CD, ACCESS_TYPE, BRANCH_CODE, CLASS_CODE, ENT_BY, ENT_DATE, ENT_BY_IP)</v>
      </c>
      <c r="AJ221" s="12" t="str">
        <f t="shared" si="101"/>
        <v>VALUES('08802411','IpdClaim.aspx', 'USER', '01', '08', 'ABDUL', SYSDATE, '10.6.100.63');</v>
      </c>
      <c r="AK221" s="12" t="str">
        <f t="shared" si="66"/>
        <v>INSERT INTO sy_perm_list (USER_CD, OPT_CD, ACCESS_TYPE, BRANCH_CODE, CLASS_CODE, ENT_BY, ENT_DATE, ENT_BY_IP)</v>
      </c>
      <c r="AL221" s="12" t="str">
        <f t="shared" si="102"/>
        <v>VALUES('08802411','OpdClaim.aspx', 'USER', '01', '08', 'ABDUL', SYSDATE, '10.6.100.63');</v>
      </c>
      <c r="AM221" s="12" t="str">
        <f t="shared" si="68"/>
        <v>INSERT INTO sy_perm_list (USER_CD, OPT_CD, ACCESS_TYPE, BRANCH_CODE, CLASS_CODE, ENT_BY, ENT_DATE, ENT_BY_IP)</v>
      </c>
      <c r="AN221" s="12" t="str">
        <f t="shared" si="103"/>
        <v>VALUES('08802411','RequestDetails.aspx', 'USER', '01', '08', 'ABDUL', SYSDATE, '10.6.100.63');</v>
      </c>
      <c r="AO221" s="12" t="str">
        <f t="shared" si="70"/>
        <v>INSERT INTO sy_perm_list (USER_CD, OPT_CD, ACCESS_TYPE, BRANCH_CODE, CLASS_CODE, ENT_BY, ENT_DATE, ENT_BY_IP)</v>
      </c>
      <c r="AP221" s="12" t="str">
        <f t="shared" si="104"/>
        <v>VALUES('08802411','TodaysRequest.aspx', 'USER', '01', '08', 'ABDUL', SYSDATE, '10.6.100.63');</v>
      </c>
    </row>
    <row r="222" spans="2:42" ht="78" thickBot="1" x14ac:dyDescent="0.3">
      <c r="B222" s="56" t="s">
        <v>1041</v>
      </c>
      <c r="C222" s="37" t="s">
        <v>1049</v>
      </c>
      <c r="F222" s="5" t="s">
        <v>287</v>
      </c>
      <c r="G222" s="6" t="s">
        <v>288</v>
      </c>
      <c r="J222" s="46" t="s">
        <v>1044</v>
      </c>
      <c r="K222" s="46" t="s">
        <v>1047</v>
      </c>
      <c r="L222" s="49" t="s">
        <v>1051</v>
      </c>
      <c r="M222" s="50" t="s">
        <v>1050</v>
      </c>
      <c r="O222" s="57">
        <v>44409</v>
      </c>
      <c r="P222" s="57">
        <v>44773</v>
      </c>
      <c r="S222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2" s="12" t="str">
        <f t="shared" si="106"/>
        <v>VALUES('08802412','W. Woodward Pakistan (Private) Limited','Salaam@123','Y','N',sysdate,'016', 'C', 'Client', 'medical.mgc@mgcpakistan.com','01','B', '08', 'ABDUL', sysdate, '10.6.100.63', '08802412');</v>
      </c>
      <c r="U222" s="12" t="str">
        <f t="shared" si="89"/>
        <v>INSERT INTO sy_user_branches (USER_CD, BRANCH_CODE, CLASS_CODE, ENT_BY, ENT_DATE, ENT_BY_IP)</v>
      </c>
      <c r="V222" s="12" t="str">
        <f t="shared" si="99"/>
        <v>values('08802412','01', '08', 'ABDUL', sysdate, '10.6.100.63');</v>
      </c>
      <c r="W222" s="12" t="str">
        <f t="shared" ref="W222:W236" si="108">"INSERT INTO sy_perm_list (USER_CD, OPT_CD, ACCESS_TYPE, BRANCH_CODE, CLASS_CODE, ENT_BY, ENT_DATE, ENT_BY_IP)"</f>
        <v>INSERT INTO sy_perm_list (USER_CD, OPT_CD, ACCESS_TYPE, BRANCH_CODE, CLASS_CODE, ENT_BY, ENT_DATE, ENT_BY_IP)</v>
      </c>
      <c r="X222" s="12" t="str">
        <f t="shared" si="100"/>
        <v>VALUES('08802412','ClaimComments.aspx', 'USER', '01', '08', 'ABDUL', SYSDATE, '10.6.100.63');</v>
      </c>
      <c r="Y222" s="12" t="str">
        <f t="shared" ref="Y222:Y236" si="109">"INSERT INTO sy_perm_list (USER_CD, OPT_CD, ACCESS_TYPE, BRANCH_CODE, CLASS_CODE, ENT_BY, ENT_DATE, ENT_BY_IP)"</f>
        <v>INSERT INTO sy_perm_list (USER_CD, OPT_CD, ACCESS_TYPE, BRANCH_CODE, CLASS_CODE, ENT_BY, ENT_DATE, ENT_BY_IP)</v>
      </c>
      <c r="Z222" s="12" t="str">
        <f t="shared" si="107"/>
        <v>VALUES('08802412','ClaimDocs.aspx', 'USER', '01', '08', 'ABDUL', SYSDATE, '10.6.100.63');</v>
      </c>
      <c r="AA222" s="12" t="str">
        <f t="shared" ref="AA222:AA236" si="110">"INSERT INTO sy_perm_list (USER_CD, OPT_CD, ACCESS_TYPE, BRANCH_CODE, CLASS_CODE, ENT_BY, ENT_DATE, ENT_BY_IP)"</f>
        <v>INSERT INTO sy_perm_list (USER_CD, OPT_CD, ACCESS_TYPE, BRANCH_CODE, CLASS_CODE, ENT_BY, ENT_DATE, ENT_BY_IP)</v>
      </c>
      <c r="AB222" s="12" t="str">
        <f t="shared" si="93"/>
        <v>VALUES('08802412','Client.aspx', 'USER', '01', '08', 'ABDUL', SYSDATE, '10.6.100.63');</v>
      </c>
      <c r="AC222" s="12" t="str">
        <f t="shared" ref="AC222:AC236" si="111">"INSERT INTO sy_perm_list (USER_CD, OPT_CD, ACCESS_TYPE, BRANCH_CODE, CLASS_CODE, ENT_BY, ENT_DATE, ENT_BY_IP)"</f>
        <v>INSERT INTO sy_perm_list (USER_CD, OPT_CD, ACCESS_TYPE, BRANCH_CODE, CLASS_CODE, ENT_BY, ENT_DATE, ENT_BY_IP)</v>
      </c>
      <c r="AD222" s="12" t="str">
        <f t="shared" si="94"/>
        <v>VALUES('08802412','ClientReports.aspx', 'USER', '01', '08', 'ABDUL', SYSDATE, '10.6.100.63');</v>
      </c>
      <c r="AE222" s="12" t="str">
        <f t="shared" ref="AE222:AE236" si="112">"INSERT INTO sy_perm_list (USER_CD, OPT_CD, ACCESS_TYPE, BRANCH_CODE, CLASS_CODE, ENT_BY, ENT_DATE, ENT_BY_IP)"</f>
        <v>INSERT INTO sy_perm_list (USER_CD, OPT_CD, ACCESS_TYPE, BRANCH_CODE, CLASS_CODE, ENT_BY, ENT_DATE, ENT_BY_IP)</v>
      </c>
      <c r="AF222" s="12" t="str">
        <f t="shared" si="95"/>
        <v>VALUES('08802412','ClientRequests.aspx', 'USER', '01', '08', 'ABDUL', SYSDATE, '10.6.100.63');</v>
      </c>
      <c r="AG222" s="12" t="str">
        <f t="shared" ref="AG222:AG236" si="113">"INSERT INTO sy_perm_list (USER_CD, OPT_CD, ACCESS_TYPE, BRANCH_CODE, CLASS_CODE, ENT_BY, ENT_DATE, ENT_BY_IP)"</f>
        <v>INSERT INTO sy_perm_list (USER_CD, OPT_CD, ACCESS_TYPE, BRANCH_CODE, CLASS_CODE, ENT_BY, ENT_DATE, ENT_BY_IP)</v>
      </c>
      <c r="AH222" s="12" t="str">
        <f t="shared" si="96"/>
        <v>VALUES('08802412','HealthLife.aspx', 'USER', '01', '08', 'ABDUL', SYSDATE, '10.6.100.63');</v>
      </c>
      <c r="AI222" s="12" t="str">
        <f t="shared" ref="AI222:AI236" si="114">"INSERT INTO sy_perm_list (USER_CD, OPT_CD, ACCESS_TYPE, BRANCH_CODE, CLASS_CODE, ENT_BY, ENT_DATE, ENT_BY_IP)"</f>
        <v>INSERT INTO sy_perm_list (USER_CD, OPT_CD, ACCESS_TYPE, BRANCH_CODE, CLASS_CODE, ENT_BY, ENT_DATE, ENT_BY_IP)</v>
      </c>
      <c r="AJ222" s="12" t="str">
        <f t="shared" si="101"/>
        <v>VALUES('08802412','IpdClaim.aspx', 'USER', '01', '08', 'ABDUL', SYSDATE, '10.6.100.63');</v>
      </c>
      <c r="AK222" s="12" t="str">
        <f t="shared" ref="AK222:AK236" si="115">"INSERT INTO sy_perm_list (USER_CD, OPT_CD, ACCESS_TYPE, BRANCH_CODE, CLASS_CODE, ENT_BY, ENT_DATE, ENT_BY_IP)"</f>
        <v>INSERT INTO sy_perm_list (USER_CD, OPT_CD, ACCESS_TYPE, BRANCH_CODE, CLASS_CODE, ENT_BY, ENT_DATE, ENT_BY_IP)</v>
      </c>
      <c r="AL222" s="12" t="str">
        <f t="shared" si="102"/>
        <v>VALUES('08802412','OpdClaim.aspx', 'USER', '01', '08', 'ABDUL', SYSDATE, '10.6.100.63');</v>
      </c>
      <c r="AM222" s="12" t="str">
        <f t="shared" ref="AM222:AM236" si="116">"INSERT INTO sy_perm_list (USER_CD, OPT_CD, ACCESS_TYPE, BRANCH_CODE, CLASS_CODE, ENT_BY, ENT_DATE, ENT_BY_IP)"</f>
        <v>INSERT INTO sy_perm_list (USER_CD, OPT_CD, ACCESS_TYPE, BRANCH_CODE, CLASS_CODE, ENT_BY, ENT_DATE, ENT_BY_IP)</v>
      </c>
      <c r="AN222" s="12" t="str">
        <f t="shared" si="103"/>
        <v>VALUES('08802412','RequestDetails.aspx', 'USER', '01', '08', 'ABDUL', SYSDATE, '10.6.100.63');</v>
      </c>
      <c r="AO222" s="12" t="str">
        <f t="shared" ref="AO222:AO236" si="117">"INSERT INTO sy_perm_list (USER_CD, OPT_CD, ACCESS_TYPE, BRANCH_CODE, CLASS_CODE, ENT_BY, ENT_DATE, ENT_BY_IP)"</f>
        <v>INSERT INTO sy_perm_list (USER_CD, OPT_CD, ACCESS_TYPE, BRANCH_CODE, CLASS_CODE, ENT_BY, ENT_DATE, ENT_BY_IP)</v>
      </c>
      <c r="AP222" s="12" t="str">
        <f t="shared" si="104"/>
        <v>VALUES('08802412','TodaysRequest.aspx', 'USER', '01', '08', 'ABDUL', SYSDATE, '10.6.100.63');</v>
      </c>
    </row>
    <row r="223" spans="2:42" ht="78" thickBot="1" x14ac:dyDescent="0.3">
      <c r="B223" s="56" t="s">
        <v>1042</v>
      </c>
      <c r="C223" s="37" t="s">
        <v>1049</v>
      </c>
      <c r="F223" s="5" t="s">
        <v>287</v>
      </c>
      <c r="G223" s="6" t="s">
        <v>288</v>
      </c>
      <c r="J223" s="46" t="s">
        <v>1045</v>
      </c>
      <c r="K223" s="46" t="s">
        <v>1048</v>
      </c>
      <c r="L223" s="49" t="s">
        <v>1051</v>
      </c>
      <c r="M223" s="50" t="s">
        <v>1050</v>
      </c>
      <c r="O223" s="57">
        <v>44409</v>
      </c>
      <c r="P223" s="57">
        <v>44773</v>
      </c>
      <c r="S223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3" s="12" t="str">
        <f t="shared" si="106"/>
        <v>VALUES('08802410','LE Mendoza Pharmaceutical (Private) Limited','Salaam@123','Y','N',sysdate,'016', 'C', 'Client', 'medical.mgc@mgcpakistan.com','01','B', '08', 'ABDUL', sysdate, '10.6.100.63', '08802410');</v>
      </c>
      <c r="U223" s="12" t="str">
        <f t="shared" si="89"/>
        <v>INSERT INTO sy_user_branches (USER_CD, BRANCH_CODE, CLASS_CODE, ENT_BY, ENT_DATE, ENT_BY_IP)</v>
      </c>
      <c r="V223" s="12" t="str">
        <f t="shared" si="99"/>
        <v>values('08802410','01', '08', 'ABDUL', sysdate, '10.6.100.63');</v>
      </c>
      <c r="W223" s="12" t="str">
        <f t="shared" si="108"/>
        <v>INSERT INTO sy_perm_list (USER_CD, OPT_CD, ACCESS_TYPE, BRANCH_CODE, CLASS_CODE, ENT_BY, ENT_DATE, ENT_BY_IP)</v>
      </c>
      <c r="X223" s="12" t="str">
        <f t="shared" si="100"/>
        <v>VALUES('08802410','ClaimComments.aspx', 'USER', '01', '08', 'ABDUL', SYSDATE, '10.6.100.63');</v>
      </c>
      <c r="Y223" s="12" t="str">
        <f t="shared" si="109"/>
        <v>INSERT INTO sy_perm_list (USER_CD, OPT_CD, ACCESS_TYPE, BRANCH_CODE, CLASS_CODE, ENT_BY, ENT_DATE, ENT_BY_IP)</v>
      </c>
      <c r="Z223" s="12" t="str">
        <f t="shared" si="107"/>
        <v>VALUES('08802410','ClaimDocs.aspx', 'USER', '01', '08', 'ABDUL', SYSDATE, '10.6.100.63');</v>
      </c>
      <c r="AA223" s="12" t="str">
        <f t="shared" si="110"/>
        <v>INSERT INTO sy_perm_list (USER_CD, OPT_CD, ACCESS_TYPE, BRANCH_CODE, CLASS_CODE, ENT_BY, ENT_DATE, ENT_BY_IP)</v>
      </c>
      <c r="AB223" s="12" t="str">
        <f t="shared" si="93"/>
        <v>VALUES('08802410','Client.aspx', 'USER', '01', '08', 'ABDUL', SYSDATE, '10.6.100.63');</v>
      </c>
      <c r="AC223" s="12" t="str">
        <f t="shared" si="111"/>
        <v>INSERT INTO sy_perm_list (USER_CD, OPT_CD, ACCESS_TYPE, BRANCH_CODE, CLASS_CODE, ENT_BY, ENT_DATE, ENT_BY_IP)</v>
      </c>
      <c r="AD223" s="12" t="str">
        <f t="shared" si="94"/>
        <v>VALUES('08802410','ClientReports.aspx', 'USER', '01', '08', 'ABDUL', SYSDATE, '10.6.100.63');</v>
      </c>
      <c r="AE223" s="12" t="str">
        <f t="shared" si="112"/>
        <v>INSERT INTO sy_perm_list (USER_CD, OPT_CD, ACCESS_TYPE, BRANCH_CODE, CLASS_CODE, ENT_BY, ENT_DATE, ENT_BY_IP)</v>
      </c>
      <c r="AF223" s="12" t="str">
        <f t="shared" si="95"/>
        <v>VALUES('08802410','ClientRequests.aspx', 'USER', '01', '08', 'ABDUL', SYSDATE, '10.6.100.63');</v>
      </c>
      <c r="AG223" s="12" t="str">
        <f t="shared" si="113"/>
        <v>INSERT INTO sy_perm_list (USER_CD, OPT_CD, ACCESS_TYPE, BRANCH_CODE, CLASS_CODE, ENT_BY, ENT_DATE, ENT_BY_IP)</v>
      </c>
      <c r="AH223" s="12" t="str">
        <f t="shared" si="96"/>
        <v>VALUES('08802410','HealthLife.aspx', 'USER', '01', '08', 'ABDUL', SYSDATE, '10.6.100.63');</v>
      </c>
      <c r="AI223" s="12" t="str">
        <f t="shared" si="114"/>
        <v>INSERT INTO sy_perm_list (USER_CD, OPT_CD, ACCESS_TYPE, BRANCH_CODE, CLASS_CODE, ENT_BY, ENT_DATE, ENT_BY_IP)</v>
      </c>
      <c r="AJ223" s="12" t="str">
        <f t="shared" si="101"/>
        <v>VALUES('08802410','IpdClaim.aspx', 'USER', '01', '08', 'ABDUL', SYSDATE, '10.6.100.63');</v>
      </c>
      <c r="AK223" s="12" t="str">
        <f t="shared" si="115"/>
        <v>INSERT INTO sy_perm_list (USER_CD, OPT_CD, ACCESS_TYPE, BRANCH_CODE, CLASS_CODE, ENT_BY, ENT_DATE, ENT_BY_IP)</v>
      </c>
      <c r="AL223" s="12" t="str">
        <f t="shared" si="102"/>
        <v>VALUES('08802410','OpdClaim.aspx', 'USER', '01', '08', 'ABDUL', SYSDATE, '10.6.100.63');</v>
      </c>
      <c r="AM223" s="12" t="str">
        <f t="shared" si="116"/>
        <v>INSERT INTO sy_perm_list (USER_CD, OPT_CD, ACCESS_TYPE, BRANCH_CODE, CLASS_CODE, ENT_BY, ENT_DATE, ENT_BY_IP)</v>
      </c>
      <c r="AN223" s="12" t="str">
        <f t="shared" si="103"/>
        <v>VALUES('08802410','RequestDetails.aspx', 'USER', '01', '08', 'ABDUL', SYSDATE, '10.6.100.63');</v>
      </c>
      <c r="AO223" s="12" t="str">
        <f t="shared" si="117"/>
        <v>INSERT INTO sy_perm_list (USER_CD, OPT_CD, ACCESS_TYPE, BRANCH_CODE, CLASS_CODE, ENT_BY, ENT_DATE, ENT_BY_IP)</v>
      </c>
      <c r="AP223" s="12" t="str">
        <f t="shared" si="104"/>
        <v>VALUES('08802410','TodaysRequest.aspx', 'USER', '01', '08', 'ABDUL', SYSDATE, '10.6.100.63');</v>
      </c>
    </row>
    <row r="224" spans="2:42" ht="77.25" x14ac:dyDescent="0.25">
      <c r="B224" s="37" t="s">
        <v>1053</v>
      </c>
      <c r="F224" s="5" t="s">
        <v>287</v>
      </c>
      <c r="G224" s="6" t="s">
        <v>288</v>
      </c>
      <c r="J224" s="36" t="s">
        <v>1054</v>
      </c>
      <c r="K224" s="58" t="s">
        <v>1055</v>
      </c>
      <c r="L224" s="36" t="s">
        <v>1056</v>
      </c>
      <c r="M224" s="11" t="s">
        <v>1057</v>
      </c>
      <c r="O224" s="52">
        <v>44409</v>
      </c>
      <c r="P224" s="52">
        <v>44773</v>
      </c>
      <c r="S224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4" s="12" t="str">
        <f t="shared" si="106"/>
        <v>VALUES('08802297','Canteen Stores Department (CSD)','Salaam@123','Y','N',sysdate,'016', 'C', 'Client', 'javed.iqbal@csd.gov.pk','01','B', '08', 'ABDUL', sysdate, '10.6.100.63', '08802297');</v>
      </c>
      <c r="U224" s="12" t="str">
        <f t="shared" si="89"/>
        <v>INSERT INTO sy_user_branches (USER_CD, BRANCH_CODE, CLASS_CODE, ENT_BY, ENT_DATE, ENT_BY_IP)</v>
      </c>
      <c r="V224" s="12" t="str">
        <f t="shared" si="99"/>
        <v>values('08802297','01', '08', 'ABDUL', sysdate, '10.6.100.63');</v>
      </c>
      <c r="W224" s="12" t="str">
        <f t="shared" si="108"/>
        <v>INSERT INTO sy_perm_list (USER_CD, OPT_CD, ACCESS_TYPE, BRANCH_CODE, CLASS_CODE, ENT_BY, ENT_DATE, ENT_BY_IP)</v>
      </c>
      <c r="X224" s="12" t="str">
        <f t="shared" si="100"/>
        <v>VALUES('08802297','ClaimComments.aspx', 'USER', '01', '08', 'ABDUL', SYSDATE, '10.6.100.63');</v>
      </c>
      <c r="Y224" s="12" t="str">
        <f t="shared" si="109"/>
        <v>INSERT INTO sy_perm_list (USER_CD, OPT_CD, ACCESS_TYPE, BRANCH_CODE, CLASS_CODE, ENT_BY, ENT_DATE, ENT_BY_IP)</v>
      </c>
      <c r="Z224" s="12" t="str">
        <f t="shared" si="107"/>
        <v>VALUES('08802297','ClaimDocs.aspx', 'USER', '01', '08', 'ABDUL', SYSDATE, '10.6.100.63');</v>
      </c>
      <c r="AA224" s="12" t="str">
        <f t="shared" si="110"/>
        <v>INSERT INTO sy_perm_list (USER_CD, OPT_CD, ACCESS_TYPE, BRANCH_CODE, CLASS_CODE, ENT_BY, ENT_DATE, ENT_BY_IP)</v>
      </c>
      <c r="AB224" s="12" t="str">
        <f t="shared" si="93"/>
        <v>VALUES('08802297','Client.aspx', 'USER', '01', '08', 'ABDUL', SYSDATE, '10.6.100.63');</v>
      </c>
      <c r="AC224" s="12" t="str">
        <f t="shared" si="111"/>
        <v>INSERT INTO sy_perm_list (USER_CD, OPT_CD, ACCESS_TYPE, BRANCH_CODE, CLASS_CODE, ENT_BY, ENT_DATE, ENT_BY_IP)</v>
      </c>
      <c r="AD224" s="12" t="str">
        <f t="shared" si="94"/>
        <v>VALUES('08802297','ClientReports.aspx', 'USER', '01', '08', 'ABDUL', SYSDATE, '10.6.100.63');</v>
      </c>
      <c r="AE224" s="12" t="str">
        <f t="shared" si="112"/>
        <v>INSERT INTO sy_perm_list (USER_CD, OPT_CD, ACCESS_TYPE, BRANCH_CODE, CLASS_CODE, ENT_BY, ENT_DATE, ENT_BY_IP)</v>
      </c>
      <c r="AF224" s="12" t="str">
        <f t="shared" si="95"/>
        <v>VALUES('08802297','ClientRequests.aspx', 'USER', '01', '08', 'ABDUL', SYSDATE, '10.6.100.63');</v>
      </c>
      <c r="AG224" s="12" t="str">
        <f t="shared" si="113"/>
        <v>INSERT INTO sy_perm_list (USER_CD, OPT_CD, ACCESS_TYPE, BRANCH_CODE, CLASS_CODE, ENT_BY, ENT_DATE, ENT_BY_IP)</v>
      </c>
      <c r="AH224" s="12" t="str">
        <f t="shared" si="96"/>
        <v>VALUES('08802297','HealthLife.aspx', 'USER', '01', '08', 'ABDUL', SYSDATE, '10.6.100.63');</v>
      </c>
      <c r="AI224" s="12" t="str">
        <f t="shared" si="114"/>
        <v>INSERT INTO sy_perm_list (USER_CD, OPT_CD, ACCESS_TYPE, BRANCH_CODE, CLASS_CODE, ENT_BY, ENT_DATE, ENT_BY_IP)</v>
      </c>
      <c r="AJ224" s="12" t="str">
        <f t="shared" si="101"/>
        <v>VALUES('08802297','IpdClaim.aspx', 'USER', '01', '08', 'ABDUL', SYSDATE, '10.6.100.63');</v>
      </c>
      <c r="AK224" s="12" t="str">
        <f t="shared" si="115"/>
        <v>INSERT INTO sy_perm_list (USER_CD, OPT_CD, ACCESS_TYPE, BRANCH_CODE, CLASS_CODE, ENT_BY, ENT_DATE, ENT_BY_IP)</v>
      </c>
      <c r="AL224" s="12" t="str">
        <f t="shared" si="102"/>
        <v>VALUES('08802297','OpdClaim.aspx', 'USER', '01', '08', 'ABDUL', SYSDATE, '10.6.100.63');</v>
      </c>
      <c r="AM224" s="12" t="str">
        <f t="shared" si="116"/>
        <v>INSERT INTO sy_perm_list (USER_CD, OPT_CD, ACCESS_TYPE, BRANCH_CODE, CLASS_CODE, ENT_BY, ENT_DATE, ENT_BY_IP)</v>
      </c>
      <c r="AN224" s="12" t="str">
        <f t="shared" si="103"/>
        <v>VALUES('08802297','RequestDetails.aspx', 'USER', '01', '08', 'ABDUL', SYSDATE, '10.6.100.63');</v>
      </c>
      <c r="AO224" s="12" t="str">
        <f t="shared" si="117"/>
        <v>INSERT INTO sy_perm_list (USER_CD, OPT_CD, ACCESS_TYPE, BRANCH_CODE, CLASS_CODE, ENT_BY, ENT_DATE, ENT_BY_IP)</v>
      </c>
      <c r="AP224" s="12" t="str">
        <f t="shared" si="104"/>
        <v>VALUES('08802297','TodaysRequest.aspx', 'USER', '01', '08', 'ABDUL', SYSDATE, '10.6.100.63');</v>
      </c>
    </row>
    <row r="225" spans="2:42" ht="78" thickBot="1" x14ac:dyDescent="0.3">
      <c r="B225" s="37" t="s">
        <v>1058</v>
      </c>
      <c r="C225" s="37" t="s">
        <v>1059</v>
      </c>
      <c r="F225" s="5" t="s">
        <v>287</v>
      </c>
      <c r="G225" s="6" t="s">
        <v>288</v>
      </c>
      <c r="J225" s="46" t="s">
        <v>1060</v>
      </c>
      <c r="K225" s="59" t="s">
        <v>1061</v>
      </c>
      <c r="L225" s="49" t="s">
        <v>1063</v>
      </c>
      <c r="M225" s="11" t="s">
        <v>1062</v>
      </c>
      <c r="S225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5" s="12" t="str">
        <f t="shared" si="106"/>
        <v>VALUES('08802344','UDL Distribution (Private) Limited','Salaam@123','Y','N',sysdate,'016', 'C', 'Client', 'subhan.uddin@udld.biz','01','B', '08', 'ABDUL', sysdate, '10.6.100.63', '08802344');</v>
      </c>
      <c r="U225" s="12" t="str">
        <f t="shared" si="89"/>
        <v>INSERT INTO sy_user_branches (USER_CD, BRANCH_CODE, CLASS_CODE, ENT_BY, ENT_DATE, ENT_BY_IP)</v>
      </c>
      <c r="V225" s="12" t="str">
        <f t="shared" si="99"/>
        <v>values('08802344','01', '08', 'ABDUL', sysdate, '10.6.100.63');</v>
      </c>
      <c r="W225" s="12" t="str">
        <f t="shared" si="108"/>
        <v>INSERT INTO sy_perm_list (USER_CD, OPT_CD, ACCESS_TYPE, BRANCH_CODE, CLASS_CODE, ENT_BY, ENT_DATE, ENT_BY_IP)</v>
      </c>
      <c r="X225" s="12" t="str">
        <f t="shared" si="100"/>
        <v>VALUES('08802344','ClaimComments.aspx', 'USER', '01', '08', 'ABDUL', SYSDATE, '10.6.100.63');</v>
      </c>
      <c r="Y225" s="12" t="str">
        <f t="shared" si="109"/>
        <v>INSERT INTO sy_perm_list (USER_CD, OPT_CD, ACCESS_TYPE, BRANCH_CODE, CLASS_CODE, ENT_BY, ENT_DATE, ENT_BY_IP)</v>
      </c>
      <c r="Z225" s="12" t="str">
        <f t="shared" si="107"/>
        <v>VALUES('08802344','ClaimDocs.aspx', 'USER', '01', '08', 'ABDUL', SYSDATE, '10.6.100.63');</v>
      </c>
      <c r="AA225" s="12" t="str">
        <f t="shared" si="110"/>
        <v>INSERT INTO sy_perm_list (USER_CD, OPT_CD, ACCESS_TYPE, BRANCH_CODE, CLASS_CODE, ENT_BY, ENT_DATE, ENT_BY_IP)</v>
      </c>
      <c r="AB225" s="12" t="str">
        <f t="shared" si="93"/>
        <v>VALUES('08802344','Client.aspx', 'USER', '01', '08', 'ABDUL', SYSDATE, '10.6.100.63');</v>
      </c>
      <c r="AC225" s="12" t="str">
        <f t="shared" si="111"/>
        <v>INSERT INTO sy_perm_list (USER_CD, OPT_CD, ACCESS_TYPE, BRANCH_CODE, CLASS_CODE, ENT_BY, ENT_DATE, ENT_BY_IP)</v>
      </c>
      <c r="AD225" s="12" t="str">
        <f t="shared" si="94"/>
        <v>VALUES('08802344','ClientReports.aspx', 'USER', '01', '08', 'ABDUL', SYSDATE, '10.6.100.63');</v>
      </c>
      <c r="AE225" s="12" t="str">
        <f t="shared" si="112"/>
        <v>INSERT INTO sy_perm_list (USER_CD, OPT_CD, ACCESS_TYPE, BRANCH_CODE, CLASS_CODE, ENT_BY, ENT_DATE, ENT_BY_IP)</v>
      </c>
      <c r="AF225" s="12" t="str">
        <f t="shared" si="95"/>
        <v>VALUES('08802344','ClientRequests.aspx', 'USER', '01', '08', 'ABDUL', SYSDATE, '10.6.100.63');</v>
      </c>
      <c r="AG225" s="12" t="str">
        <f t="shared" si="113"/>
        <v>INSERT INTO sy_perm_list (USER_CD, OPT_CD, ACCESS_TYPE, BRANCH_CODE, CLASS_CODE, ENT_BY, ENT_DATE, ENT_BY_IP)</v>
      </c>
      <c r="AH225" s="12" t="str">
        <f t="shared" si="96"/>
        <v>VALUES('08802344','HealthLife.aspx', 'USER', '01', '08', 'ABDUL', SYSDATE, '10.6.100.63');</v>
      </c>
      <c r="AI225" s="12" t="str">
        <f t="shared" si="114"/>
        <v>INSERT INTO sy_perm_list (USER_CD, OPT_CD, ACCESS_TYPE, BRANCH_CODE, CLASS_CODE, ENT_BY, ENT_DATE, ENT_BY_IP)</v>
      </c>
      <c r="AJ225" s="12" t="str">
        <f t="shared" si="101"/>
        <v>VALUES('08802344','IpdClaim.aspx', 'USER', '01', '08', 'ABDUL', SYSDATE, '10.6.100.63');</v>
      </c>
      <c r="AK225" s="12" t="str">
        <f t="shared" si="115"/>
        <v>INSERT INTO sy_perm_list (USER_CD, OPT_CD, ACCESS_TYPE, BRANCH_CODE, CLASS_CODE, ENT_BY, ENT_DATE, ENT_BY_IP)</v>
      </c>
      <c r="AL225" s="12" t="str">
        <f t="shared" si="102"/>
        <v>VALUES('08802344','OpdClaim.aspx', 'USER', '01', '08', 'ABDUL', SYSDATE, '10.6.100.63');</v>
      </c>
      <c r="AM225" s="12" t="str">
        <f t="shared" si="116"/>
        <v>INSERT INTO sy_perm_list (USER_CD, OPT_CD, ACCESS_TYPE, BRANCH_CODE, CLASS_CODE, ENT_BY, ENT_DATE, ENT_BY_IP)</v>
      </c>
      <c r="AN225" s="12" t="str">
        <f t="shared" si="103"/>
        <v>VALUES('08802344','RequestDetails.aspx', 'USER', '01', '08', 'ABDUL', SYSDATE, '10.6.100.63');</v>
      </c>
      <c r="AO225" s="12" t="str">
        <f t="shared" si="117"/>
        <v>INSERT INTO sy_perm_list (USER_CD, OPT_CD, ACCESS_TYPE, BRANCH_CODE, CLASS_CODE, ENT_BY, ENT_DATE, ENT_BY_IP)</v>
      </c>
      <c r="AP225" s="12" t="str">
        <f t="shared" si="104"/>
        <v>VALUES('08802344','TodaysRequest.aspx', 'USER', '01', '08', 'ABDUL', SYSDATE, '10.6.100.63');</v>
      </c>
    </row>
    <row r="226" spans="2:42" ht="90.75" thickBot="1" x14ac:dyDescent="0.3">
      <c r="B226" s="37" t="s">
        <v>1064</v>
      </c>
      <c r="F226" s="5" t="s">
        <v>287</v>
      </c>
      <c r="G226" s="6" t="s">
        <v>288</v>
      </c>
      <c r="J226" s="46" t="s">
        <v>1065</v>
      </c>
      <c r="K226" s="59" t="s">
        <v>1066</v>
      </c>
      <c r="L226" s="49" t="s">
        <v>1067</v>
      </c>
      <c r="M226" s="11" t="s">
        <v>1068</v>
      </c>
      <c r="S226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6" s="12" t="str">
        <f t="shared" si="106"/>
        <v>VALUES('08802354','Nagaria Textile Mills (Private) Limited','Salaam@123','Y','N',sysdate,'016', 'C', 'Client', 'waqas.rehman@nagariatextiles.com','01','B', '08', 'ABDUL', sysdate, '10.6.100.63', '08802354');</v>
      </c>
      <c r="U226" s="12" t="str">
        <f t="shared" si="89"/>
        <v>INSERT INTO sy_user_branches (USER_CD, BRANCH_CODE, CLASS_CODE, ENT_BY, ENT_DATE, ENT_BY_IP)</v>
      </c>
      <c r="V226" s="12" t="str">
        <f t="shared" si="99"/>
        <v>values('08802354','01', '08', 'ABDUL', sysdate, '10.6.100.63');</v>
      </c>
      <c r="W226" s="12" t="str">
        <f t="shared" si="108"/>
        <v>INSERT INTO sy_perm_list (USER_CD, OPT_CD, ACCESS_TYPE, BRANCH_CODE, CLASS_CODE, ENT_BY, ENT_DATE, ENT_BY_IP)</v>
      </c>
      <c r="X226" s="12" t="str">
        <f t="shared" si="100"/>
        <v>VALUES('08802354','ClaimComments.aspx', 'USER', '01', '08', 'ABDUL', SYSDATE, '10.6.100.63');</v>
      </c>
      <c r="Y226" s="12" t="str">
        <f t="shared" si="109"/>
        <v>INSERT INTO sy_perm_list (USER_CD, OPT_CD, ACCESS_TYPE, BRANCH_CODE, CLASS_CODE, ENT_BY, ENT_DATE, ENT_BY_IP)</v>
      </c>
      <c r="Z226" s="12" t="str">
        <f t="shared" si="107"/>
        <v>VALUES('08802354','ClaimDocs.aspx', 'USER', '01', '08', 'ABDUL', SYSDATE, '10.6.100.63');</v>
      </c>
      <c r="AA226" s="12" t="str">
        <f t="shared" si="110"/>
        <v>INSERT INTO sy_perm_list (USER_CD, OPT_CD, ACCESS_TYPE, BRANCH_CODE, CLASS_CODE, ENT_BY, ENT_DATE, ENT_BY_IP)</v>
      </c>
      <c r="AB226" s="12" t="str">
        <f t="shared" si="93"/>
        <v>VALUES('08802354','Client.aspx', 'USER', '01', '08', 'ABDUL', SYSDATE, '10.6.100.63');</v>
      </c>
      <c r="AC226" s="12" t="str">
        <f t="shared" si="111"/>
        <v>INSERT INTO sy_perm_list (USER_CD, OPT_CD, ACCESS_TYPE, BRANCH_CODE, CLASS_CODE, ENT_BY, ENT_DATE, ENT_BY_IP)</v>
      </c>
      <c r="AD226" s="12" t="str">
        <f t="shared" si="94"/>
        <v>VALUES('08802354','ClientReports.aspx', 'USER', '01', '08', 'ABDUL', SYSDATE, '10.6.100.63');</v>
      </c>
      <c r="AE226" s="12" t="str">
        <f t="shared" si="112"/>
        <v>INSERT INTO sy_perm_list (USER_CD, OPT_CD, ACCESS_TYPE, BRANCH_CODE, CLASS_CODE, ENT_BY, ENT_DATE, ENT_BY_IP)</v>
      </c>
      <c r="AF226" s="12" t="str">
        <f t="shared" si="95"/>
        <v>VALUES('08802354','ClientRequests.aspx', 'USER', '01', '08', 'ABDUL', SYSDATE, '10.6.100.63');</v>
      </c>
      <c r="AG226" s="12" t="str">
        <f t="shared" si="113"/>
        <v>INSERT INTO sy_perm_list (USER_CD, OPT_CD, ACCESS_TYPE, BRANCH_CODE, CLASS_CODE, ENT_BY, ENT_DATE, ENT_BY_IP)</v>
      </c>
      <c r="AH226" s="12" t="str">
        <f t="shared" si="96"/>
        <v>VALUES('08802354','HealthLife.aspx', 'USER', '01', '08', 'ABDUL', SYSDATE, '10.6.100.63');</v>
      </c>
      <c r="AI226" s="12" t="str">
        <f t="shared" si="114"/>
        <v>INSERT INTO sy_perm_list (USER_CD, OPT_CD, ACCESS_TYPE, BRANCH_CODE, CLASS_CODE, ENT_BY, ENT_DATE, ENT_BY_IP)</v>
      </c>
      <c r="AJ226" s="12" t="str">
        <f t="shared" si="101"/>
        <v>VALUES('08802354','IpdClaim.aspx', 'USER', '01', '08', 'ABDUL', SYSDATE, '10.6.100.63');</v>
      </c>
      <c r="AK226" s="12" t="str">
        <f t="shared" si="115"/>
        <v>INSERT INTO sy_perm_list (USER_CD, OPT_CD, ACCESS_TYPE, BRANCH_CODE, CLASS_CODE, ENT_BY, ENT_DATE, ENT_BY_IP)</v>
      </c>
      <c r="AL226" s="12" t="str">
        <f t="shared" si="102"/>
        <v>VALUES('08802354','OpdClaim.aspx', 'USER', '01', '08', 'ABDUL', SYSDATE, '10.6.100.63');</v>
      </c>
      <c r="AM226" s="12" t="str">
        <f t="shared" si="116"/>
        <v>INSERT INTO sy_perm_list (USER_CD, OPT_CD, ACCESS_TYPE, BRANCH_CODE, CLASS_CODE, ENT_BY, ENT_DATE, ENT_BY_IP)</v>
      </c>
      <c r="AN226" s="12" t="str">
        <f t="shared" si="103"/>
        <v>VALUES('08802354','RequestDetails.aspx', 'USER', '01', '08', 'ABDUL', SYSDATE, '10.6.100.63');</v>
      </c>
      <c r="AO226" s="12" t="str">
        <f t="shared" si="117"/>
        <v>INSERT INTO sy_perm_list (USER_CD, OPT_CD, ACCESS_TYPE, BRANCH_CODE, CLASS_CODE, ENT_BY, ENT_DATE, ENT_BY_IP)</v>
      </c>
      <c r="AP226" s="12" t="str">
        <f t="shared" si="104"/>
        <v>VALUES('08802354','TodaysRequest.aspx', 'USER', '01', '08', 'ABDUL', SYSDATE, '10.6.100.63');</v>
      </c>
    </row>
    <row r="227" spans="2:42" ht="77.25" x14ac:dyDescent="0.25">
      <c r="B227" s="37" t="s">
        <v>1069</v>
      </c>
      <c r="F227" s="5" t="s">
        <v>287</v>
      </c>
      <c r="G227" s="6" t="s">
        <v>288</v>
      </c>
      <c r="J227" s="59" t="s">
        <v>1070</v>
      </c>
      <c r="K227" s="59" t="s">
        <v>1071</v>
      </c>
      <c r="L227" s="49" t="s">
        <v>1072</v>
      </c>
      <c r="M227" s="11" t="s">
        <v>1073</v>
      </c>
      <c r="S227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7" s="12" t="str">
        <f t="shared" si="106"/>
        <v>VALUES('08802203','Zaman Textile Mills (Pvt) Ltd','Salaam@123','Y','N',sysdate,'016', 'C', 'Client', 'shehryar@zamantextile.com','01','B', '08', 'ABDUL', sysdate, '10.6.100.63', '08802203');</v>
      </c>
      <c r="U227" s="12" t="str">
        <f t="shared" si="89"/>
        <v>INSERT INTO sy_user_branches (USER_CD, BRANCH_CODE, CLASS_CODE, ENT_BY, ENT_DATE, ENT_BY_IP)</v>
      </c>
      <c r="V227" s="12" t="str">
        <f t="shared" si="99"/>
        <v>values('08802203','01', '08', 'ABDUL', sysdate, '10.6.100.63');</v>
      </c>
      <c r="W227" s="12" t="str">
        <f t="shared" si="108"/>
        <v>INSERT INTO sy_perm_list (USER_CD, OPT_CD, ACCESS_TYPE, BRANCH_CODE, CLASS_CODE, ENT_BY, ENT_DATE, ENT_BY_IP)</v>
      </c>
      <c r="X227" s="12" t="str">
        <f t="shared" si="100"/>
        <v>VALUES('08802203','ClaimComments.aspx', 'USER', '01', '08', 'ABDUL', SYSDATE, '10.6.100.63');</v>
      </c>
      <c r="Y227" s="12" t="str">
        <f t="shared" si="109"/>
        <v>INSERT INTO sy_perm_list (USER_CD, OPT_CD, ACCESS_TYPE, BRANCH_CODE, CLASS_CODE, ENT_BY, ENT_DATE, ENT_BY_IP)</v>
      </c>
      <c r="Z227" s="12" t="str">
        <f t="shared" si="107"/>
        <v>VALUES('08802203','ClaimDocs.aspx', 'USER', '01', '08', 'ABDUL', SYSDATE, '10.6.100.63');</v>
      </c>
      <c r="AA227" s="12" t="str">
        <f t="shared" si="110"/>
        <v>INSERT INTO sy_perm_list (USER_CD, OPT_CD, ACCESS_TYPE, BRANCH_CODE, CLASS_CODE, ENT_BY, ENT_DATE, ENT_BY_IP)</v>
      </c>
      <c r="AB227" s="12" t="str">
        <f t="shared" si="93"/>
        <v>VALUES('08802203','Client.aspx', 'USER', '01', '08', 'ABDUL', SYSDATE, '10.6.100.63');</v>
      </c>
      <c r="AC227" s="12" t="str">
        <f t="shared" si="111"/>
        <v>INSERT INTO sy_perm_list (USER_CD, OPT_CD, ACCESS_TYPE, BRANCH_CODE, CLASS_CODE, ENT_BY, ENT_DATE, ENT_BY_IP)</v>
      </c>
      <c r="AD227" s="12" t="str">
        <f t="shared" si="94"/>
        <v>VALUES('08802203','ClientReports.aspx', 'USER', '01', '08', 'ABDUL', SYSDATE, '10.6.100.63');</v>
      </c>
      <c r="AE227" s="12" t="str">
        <f t="shared" si="112"/>
        <v>INSERT INTO sy_perm_list (USER_CD, OPT_CD, ACCESS_TYPE, BRANCH_CODE, CLASS_CODE, ENT_BY, ENT_DATE, ENT_BY_IP)</v>
      </c>
      <c r="AF227" s="12" t="str">
        <f t="shared" si="95"/>
        <v>VALUES('08802203','ClientRequests.aspx', 'USER', '01', '08', 'ABDUL', SYSDATE, '10.6.100.63');</v>
      </c>
      <c r="AG227" s="12" t="str">
        <f t="shared" si="113"/>
        <v>INSERT INTO sy_perm_list (USER_CD, OPT_CD, ACCESS_TYPE, BRANCH_CODE, CLASS_CODE, ENT_BY, ENT_DATE, ENT_BY_IP)</v>
      </c>
      <c r="AH227" s="12" t="str">
        <f t="shared" si="96"/>
        <v>VALUES('08802203','HealthLife.aspx', 'USER', '01', '08', 'ABDUL', SYSDATE, '10.6.100.63');</v>
      </c>
      <c r="AI227" s="12" t="str">
        <f t="shared" si="114"/>
        <v>INSERT INTO sy_perm_list (USER_CD, OPT_CD, ACCESS_TYPE, BRANCH_CODE, CLASS_CODE, ENT_BY, ENT_DATE, ENT_BY_IP)</v>
      </c>
      <c r="AJ227" s="12" t="str">
        <f t="shared" si="101"/>
        <v>VALUES('08802203','IpdClaim.aspx', 'USER', '01', '08', 'ABDUL', SYSDATE, '10.6.100.63');</v>
      </c>
      <c r="AK227" s="12" t="str">
        <f t="shared" si="115"/>
        <v>INSERT INTO sy_perm_list (USER_CD, OPT_CD, ACCESS_TYPE, BRANCH_CODE, CLASS_CODE, ENT_BY, ENT_DATE, ENT_BY_IP)</v>
      </c>
      <c r="AL227" s="12" t="str">
        <f t="shared" si="102"/>
        <v>VALUES('08802203','OpdClaim.aspx', 'USER', '01', '08', 'ABDUL', SYSDATE, '10.6.100.63');</v>
      </c>
      <c r="AM227" s="12" t="str">
        <f t="shared" si="116"/>
        <v>INSERT INTO sy_perm_list (USER_CD, OPT_CD, ACCESS_TYPE, BRANCH_CODE, CLASS_CODE, ENT_BY, ENT_DATE, ENT_BY_IP)</v>
      </c>
      <c r="AN227" s="12" t="str">
        <f t="shared" si="103"/>
        <v>VALUES('08802203','RequestDetails.aspx', 'USER', '01', '08', 'ABDUL', SYSDATE, '10.6.100.63');</v>
      </c>
      <c r="AO227" s="12" t="str">
        <f t="shared" si="117"/>
        <v>INSERT INTO sy_perm_list (USER_CD, OPT_CD, ACCESS_TYPE, BRANCH_CODE, CLASS_CODE, ENT_BY, ENT_DATE, ENT_BY_IP)</v>
      </c>
      <c r="AP227" s="12" t="str">
        <f t="shared" si="104"/>
        <v>VALUES('08802203','TodaysRequest.aspx', 'USER', '01', '08', 'ABDUL', SYSDATE, '10.6.100.63');</v>
      </c>
    </row>
    <row r="228" spans="2:42" ht="77.25" x14ac:dyDescent="0.25">
      <c r="B228" s="37" t="s">
        <v>1074</v>
      </c>
      <c r="F228" s="5" t="s">
        <v>287</v>
      </c>
      <c r="G228" s="6" t="s">
        <v>288</v>
      </c>
      <c r="J228" s="59" t="s">
        <v>1075</v>
      </c>
      <c r="K228" s="59" t="s">
        <v>1076</v>
      </c>
      <c r="L228" s="49" t="s">
        <v>1077</v>
      </c>
      <c r="M228" s="11" t="s">
        <v>1078</v>
      </c>
      <c r="S228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8" s="12" t="str">
        <f t="shared" si="106"/>
        <v>VALUES('08802202','Premier Sales (Private) Limited','Salaam@123','Y','N',sysdate,'016', 'C', 'Client', 'ali.asghar@premiergroup.com.pk','01','B', '08', 'ABDUL', sysdate, '10.6.100.63', '08802202');</v>
      </c>
      <c r="U228" s="12" t="str">
        <f t="shared" si="89"/>
        <v>INSERT INTO sy_user_branches (USER_CD, BRANCH_CODE, CLASS_CODE, ENT_BY, ENT_DATE, ENT_BY_IP)</v>
      </c>
      <c r="V228" s="12" t="str">
        <f t="shared" si="99"/>
        <v>values('08802202','01', '08', 'ABDUL', sysdate, '10.6.100.63');</v>
      </c>
      <c r="W228" s="12" t="str">
        <f t="shared" si="108"/>
        <v>INSERT INTO sy_perm_list (USER_CD, OPT_CD, ACCESS_TYPE, BRANCH_CODE, CLASS_CODE, ENT_BY, ENT_DATE, ENT_BY_IP)</v>
      </c>
      <c r="X228" s="12" t="str">
        <f t="shared" si="100"/>
        <v>VALUES('08802202','ClaimComments.aspx', 'USER', '01', '08', 'ABDUL', SYSDATE, '10.6.100.63');</v>
      </c>
      <c r="Y228" s="12" t="str">
        <f t="shared" si="109"/>
        <v>INSERT INTO sy_perm_list (USER_CD, OPT_CD, ACCESS_TYPE, BRANCH_CODE, CLASS_CODE, ENT_BY, ENT_DATE, ENT_BY_IP)</v>
      </c>
      <c r="Z228" s="12" t="str">
        <f t="shared" si="107"/>
        <v>VALUES('08802202','ClaimDocs.aspx', 'USER', '01', '08', 'ABDUL', SYSDATE, '10.6.100.63');</v>
      </c>
      <c r="AA228" s="12" t="str">
        <f t="shared" si="110"/>
        <v>INSERT INTO sy_perm_list (USER_CD, OPT_CD, ACCESS_TYPE, BRANCH_CODE, CLASS_CODE, ENT_BY, ENT_DATE, ENT_BY_IP)</v>
      </c>
      <c r="AB228" s="12" t="str">
        <f t="shared" si="93"/>
        <v>VALUES('08802202','Client.aspx', 'USER', '01', '08', 'ABDUL', SYSDATE, '10.6.100.63');</v>
      </c>
      <c r="AC228" s="12" t="str">
        <f t="shared" si="111"/>
        <v>INSERT INTO sy_perm_list (USER_CD, OPT_CD, ACCESS_TYPE, BRANCH_CODE, CLASS_CODE, ENT_BY, ENT_DATE, ENT_BY_IP)</v>
      </c>
      <c r="AD228" s="12" t="str">
        <f t="shared" si="94"/>
        <v>VALUES('08802202','ClientReports.aspx', 'USER', '01', '08', 'ABDUL', SYSDATE, '10.6.100.63');</v>
      </c>
      <c r="AE228" s="12" t="str">
        <f t="shared" si="112"/>
        <v>INSERT INTO sy_perm_list (USER_CD, OPT_CD, ACCESS_TYPE, BRANCH_CODE, CLASS_CODE, ENT_BY, ENT_DATE, ENT_BY_IP)</v>
      </c>
      <c r="AF228" s="12" t="str">
        <f t="shared" si="95"/>
        <v>VALUES('08802202','ClientRequests.aspx', 'USER', '01', '08', 'ABDUL', SYSDATE, '10.6.100.63');</v>
      </c>
      <c r="AG228" s="12" t="str">
        <f t="shared" si="113"/>
        <v>INSERT INTO sy_perm_list (USER_CD, OPT_CD, ACCESS_TYPE, BRANCH_CODE, CLASS_CODE, ENT_BY, ENT_DATE, ENT_BY_IP)</v>
      </c>
      <c r="AH228" s="12" t="str">
        <f t="shared" si="96"/>
        <v>VALUES('08802202','HealthLife.aspx', 'USER', '01', '08', 'ABDUL', SYSDATE, '10.6.100.63');</v>
      </c>
      <c r="AI228" s="12" t="str">
        <f t="shared" si="114"/>
        <v>INSERT INTO sy_perm_list (USER_CD, OPT_CD, ACCESS_TYPE, BRANCH_CODE, CLASS_CODE, ENT_BY, ENT_DATE, ENT_BY_IP)</v>
      </c>
      <c r="AJ228" s="12" t="str">
        <f t="shared" si="101"/>
        <v>VALUES('08802202','IpdClaim.aspx', 'USER', '01', '08', 'ABDUL', SYSDATE, '10.6.100.63');</v>
      </c>
      <c r="AK228" s="12" t="str">
        <f t="shared" si="115"/>
        <v>INSERT INTO sy_perm_list (USER_CD, OPT_CD, ACCESS_TYPE, BRANCH_CODE, CLASS_CODE, ENT_BY, ENT_DATE, ENT_BY_IP)</v>
      </c>
      <c r="AL228" s="12" t="str">
        <f t="shared" si="102"/>
        <v>VALUES('08802202','OpdClaim.aspx', 'USER', '01', '08', 'ABDUL', SYSDATE, '10.6.100.63');</v>
      </c>
      <c r="AM228" s="12" t="str">
        <f t="shared" si="116"/>
        <v>INSERT INTO sy_perm_list (USER_CD, OPT_CD, ACCESS_TYPE, BRANCH_CODE, CLASS_CODE, ENT_BY, ENT_DATE, ENT_BY_IP)</v>
      </c>
      <c r="AN228" s="12" t="str">
        <f t="shared" si="103"/>
        <v>VALUES('08802202','RequestDetails.aspx', 'USER', '01', '08', 'ABDUL', SYSDATE, '10.6.100.63');</v>
      </c>
      <c r="AO228" s="12" t="str">
        <f t="shared" si="117"/>
        <v>INSERT INTO sy_perm_list (USER_CD, OPT_CD, ACCESS_TYPE, BRANCH_CODE, CLASS_CODE, ENT_BY, ENT_DATE, ENT_BY_IP)</v>
      </c>
      <c r="AP228" s="12" t="str">
        <f t="shared" si="104"/>
        <v>VALUES('08802202','TodaysRequest.aspx', 'USER', '01', '08', 'ABDUL', SYSDATE, '10.6.100.63');</v>
      </c>
    </row>
    <row r="229" spans="2:42" ht="77.25" x14ac:dyDescent="0.25">
      <c r="B229" s="37" t="s">
        <v>1079</v>
      </c>
      <c r="F229" s="5" t="s">
        <v>287</v>
      </c>
      <c r="G229" s="6" t="s">
        <v>288</v>
      </c>
      <c r="J229" s="59" t="s">
        <v>1080</v>
      </c>
      <c r="K229" s="59" t="s">
        <v>1081</v>
      </c>
      <c r="L229" s="49" t="s">
        <v>1082</v>
      </c>
      <c r="M229" s="11" t="s">
        <v>1083</v>
      </c>
      <c r="S229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29" s="12" t="str">
        <f t="shared" si="106"/>
        <v>VALUES('08802435','IT Republican','Salaam@123','Y','N',sysdate,'016', 'C', 'Client', 'arsalan@itrepublican.com','01','B', '08', 'ABDUL', sysdate, '10.6.100.63', '08802435');</v>
      </c>
      <c r="U229" s="12" t="str">
        <f t="shared" si="89"/>
        <v>INSERT INTO sy_user_branches (USER_CD, BRANCH_CODE, CLASS_CODE, ENT_BY, ENT_DATE, ENT_BY_IP)</v>
      </c>
      <c r="V229" s="12" t="str">
        <f t="shared" si="99"/>
        <v>values('08802435','01', '08', 'ABDUL', sysdate, '10.6.100.63');</v>
      </c>
      <c r="W229" s="12" t="str">
        <f t="shared" si="108"/>
        <v>INSERT INTO sy_perm_list (USER_CD, OPT_CD, ACCESS_TYPE, BRANCH_CODE, CLASS_CODE, ENT_BY, ENT_DATE, ENT_BY_IP)</v>
      </c>
      <c r="X229" s="12" t="str">
        <f t="shared" si="100"/>
        <v>VALUES('08802435','ClaimComments.aspx', 'USER', '01', '08', 'ABDUL', SYSDATE, '10.6.100.63');</v>
      </c>
      <c r="Y229" s="12" t="str">
        <f t="shared" si="109"/>
        <v>INSERT INTO sy_perm_list (USER_CD, OPT_CD, ACCESS_TYPE, BRANCH_CODE, CLASS_CODE, ENT_BY, ENT_DATE, ENT_BY_IP)</v>
      </c>
      <c r="Z229" s="12" t="str">
        <f t="shared" si="107"/>
        <v>VALUES('08802435','ClaimDocs.aspx', 'USER', '01', '08', 'ABDUL', SYSDATE, '10.6.100.63');</v>
      </c>
      <c r="AA229" s="12" t="str">
        <f t="shared" si="110"/>
        <v>INSERT INTO sy_perm_list (USER_CD, OPT_CD, ACCESS_TYPE, BRANCH_CODE, CLASS_CODE, ENT_BY, ENT_DATE, ENT_BY_IP)</v>
      </c>
      <c r="AB229" s="12" t="str">
        <f t="shared" si="93"/>
        <v>VALUES('08802435','Client.aspx', 'USER', '01', '08', 'ABDUL', SYSDATE, '10.6.100.63');</v>
      </c>
      <c r="AC229" s="12" t="str">
        <f t="shared" si="111"/>
        <v>INSERT INTO sy_perm_list (USER_CD, OPT_CD, ACCESS_TYPE, BRANCH_CODE, CLASS_CODE, ENT_BY, ENT_DATE, ENT_BY_IP)</v>
      </c>
      <c r="AD229" s="12" t="str">
        <f t="shared" si="94"/>
        <v>VALUES('08802435','ClientReports.aspx', 'USER', '01', '08', 'ABDUL', SYSDATE, '10.6.100.63');</v>
      </c>
      <c r="AE229" s="12" t="str">
        <f t="shared" si="112"/>
        <v>INSERT INTO sy_perm_list (USER_CD, OPT_CD, ACCESS_TYPE, BRANCH_CODE, CLASS_CODE, ENT_BY, ENT_DATE, ENT_BY_IP)</v>
      </c>
      <c r="AF229" s="12" t="str">
        <f t="shared" si="95"/>
        <v>VALUES('08802435','ClientRequests.aspx', 'USER', '01', '08', 'ABDUL', SYSDATE, '10.6.100.63');</v>
      </c>
      <c r="AG229" s="12" t="str">
        <f t="shared" si="113"/>
        <v>INSERT INTO sy_perm_list (USER_CD, OPT_CD, ACCESS_TYPE, BRANCH_CODE, CLASS_CODE, ENT_BY, ENT_DATE, ENT_BY_IP)</v>
      </c>
      <c r="AH229" s="12" t="str">
        <f t="shared" si="96"/>
        <v>VALUES('08802435','HealthLife.aspx', 'USER', '01', '08', 'ABDUL', SYSDATE, '10.6.100.63');</v>
      </c>
      <c r="AI229" s="12" t="str">
        <f t="shared" si="114"/>
        <v>INSERT INTO sy_perm_list (USER_CD, OPT_CD, ACCESS_TYPE, BRANCH_CODE, CLASS_CODE, ENT_BY, ENT_DATE, ENT_BY_IP)</v>
      </c>
      <c r="AJ229" s="12" t="str">
        <f t="shared" si="101"/>
        <v>VALUES('08802435','IpdClaim.aspx', 'USER', '01', '08', 'ABDUL', SYSDATE, '10.6.100.63');</v>
      </c>
      <c r="AK229" s="12" t="str">
        <f t="shared" si="115"/>
        <v>INSERT INTO sy_perm_list (USER_CD, OPT_CD, ACCESS_TYPE, BRANCH_CODE, CLASS_CODE, ENT_BY, ENT_DATE, ENT_BY_IP)</v>
      </c>
      <c r="AL229" s="12" t="str">
        <f t="shared" si="102"/>
        <v>VALUES('08802435','OpdClaim.aspx', 'USER', '01', '08', 'ABDUL', SYSDATE, '10.6.100.63');</v>
      </c>
      <c r="AM229" s="12" t="str">
        <f t="shared" si="116"/>
        <v>INSERT INTO sy_perm_list (USER_CD, OPT_CD, ACCESS_TYPE, BRANCH_CODE, CLASS_CODE, ENT_BY, ENT_DATE, ENT_BY_IP)</v>
      </c>
      <c r="AN229" s="12" t="str">
        <f t="shared" si="103"/>
        <v>VALUES('08802435','RequestDetails.aspx', 'USER', '01', '08', 'ABDUL', SYSDATE, '10.6.100.63');</v>
      </c>
      <c r="AO229" s="12" t="str">
        <f t="shared" si="117"/>
        <v>INSERT INTO sy_perm_list (USER_CD, OPT_CD, ACCESS_TYPE, BRANCH_CODE, CLASS_CODE, ENT_BY, ENT_DATE, ENT_BY_IP)</v>
      </c>
      <c r="AP229" s="12" t="str">
        <f t="shared" si="104"/>
        <v>VALUES('08802435','TodaysRequest.aspx', 'USER', '01', '08', 'ABDUL', SYSDATE, '10.6.100.63');</v>
      </c>
    </row>
    <row r="230" spans="2:42" ht="77.25" x14ac:dyDescent="0.25">
      <c r="B230" s="37" t="s">
        <v>1084</v>
      </c>
      <c r="F230" s="5" t="s">
        <v>287</v>
      </c>
      <c r="G230" s="6" t="s">
        <v>288</v>
      </c>
      <c r="J230" s="59" t="s">
        <v>1085</v>
      </c>
      <c r="K230" s="59" t="s">
        <v>1086</v>
      </c>
      <c r="L230" s="49" t="s">
        <v>1051</v>
      </c>
      <c r="M230" s="11" t="s">
        <v>1050</v>
      </c>
      <c r="S230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0" s="12" t="str">
        <f t="shared" si="106"/>
        <v>VALUES('08802545','N.K Contractors','Salaam@123','Y','N',sysdate,'016', 'C', 'Client', 'medical.mgc@mgcpakistan.com','01','B', '08', 'ABDUL', sysdate, '10.6.100.63', '08802545');</v>
      </c>
      <c r="U230" s="12" t="str">
        <f t="shared" si="89"/>
        <v>INSERT INTO sy_user_branches (USER_CD, BRANCH_CODE, CLASS_CODE, ENT_BY, ENT_DATE, ENT_BY_IP)</v>
      </c>
      <c r="V230" s="12" t="str">
        <f t="shared" si="99"/>
        <v>values('08802545','01', '08', 'ABDUL', sysdate, '10.6.100.63');</v>
      </c>
      <c r="W230" s="12" t="str">
        <f t="shared" si="108"/>
        <v>INSERT INTO sy_perm_list (USER_CD, OPT_CD, ACCESS_TYPE, BRANCH_CODE, CLASS_CODE, ENT_BY, ENT_DATE, ENT_BY_IP)</v>
      </c>
      <c r="X230" s="12" t="str">
        <f t="shared" si="100"/>
        <v>VALUES('08802545','ClaimComments.aspx', 'USER', '01', '08', 'ABDUL', SYSDATE, '10.6.100.63');</v>
      </c>
      <c r="Y230" s="12" t="str">
        <f t="shared" si="109"/>
        <v>INSERT INTO sy_perm_list (USER_CD, OPT_CD, ACCESS_TYPE, BRANCH_CODE, CLASS_CODE, ENT_BY, ENT_DATE, ENT_BY_IP)</v>
      </c>
      <c r="Z230" s="12" t="str">
        <f t="shared" si="107"/>
        <v>VALUES('08802545','ClaimDocs.aspx', 'USER', '01', '08', 'ABDUL', SYSDATE, '10.6.100.63');</v>
      </c>
      <c r="AA230" s="12" t="str">
        <f t="shared" si="110"/>
        <v>INSERT INTO sy_perm_list (USER_CD, OPT_CD, ACCESS_TYPE, BRANCH_CODE, CLASS_CODE, ENT_BY, ENT_DATE, ENT_BY_IP)</v>
      </c>
      <c r="AB230" s="12" t="str">
        <f t="shared" si="93"/>
        <v>VALUES('08802545','Client.aspx', 'USER', '01', '08', 'ABDUL', SYSDATE, '10.6.100.63');</v>
      </c>
      <c r="AC230" s="12" t="str">
        <f t="shared" si="111"/>
        <v>INSERT INTO sy_perm_list (USER_CD, OPT_CD, ACCESS_TYPE, BRANCH_CODE, CLASS_CODE, ENT_BY, ENT_DATE, ENT_BY_IP)</v>
      </c>
      <c r="AD230" s="12" t="str">
        <f t="shared" si="94"/>
        <v>VALUES('08802545','ClientReports.aspx', 'USER', '01', '08', 'ABDUL', SYSDATE, '10.6.100.63');</v>
      </c>
      <c r="AE230" s="12" t="str">
        <f t="shared" si="112"/>
        <v>INSERT INTO sy_perm_list (USER_CD, OPT_CD, ACCESS_TYPE, BRANCH_CODE, CLASS_CODE, ENT_BY, ENT_DATE, ENT_BY_IP)</v>
      </c>
      <c r="AF230" s="12" t="str">
        <f t="shared" si="95"/>
        <v>VALUES('08802545','ClientRequests.aspx', 'USER', '01', '08', 'ABDUL', SYSDATE, '10.6.100.63');</v>
      </c>
      <c r="AG230" s="12" t="str">
        <f t="shared" si="113"/>
        <v>INSERT INTO sy_perm_list (USER_CD, OPT_CD, ACCESS_TYPE, BRANCH_CODE, CLASS_CODE, ENT_BY, ENT_DATE, ENT_BY_IP)</v>
      </c>
      <c r="AH230" s="12" t="str">
        <f t="shared" si="96"/>
        <v>VALUES('08802545','HealthLife.aspx', 'USER', '01', '08', 'ABDUL', SYSDATE, '10.6.100.63');</v>
      </c>
      <c r="AI230" s="12" t="str">
        <f t="shared" si="114"/>
        <v>INSERT INTO sy_perm_list (USER_CD, OPT_CD, ACCESS_TYPE, BRANCH_CODE, CLASS_CODE, ENT_BY, ENT_DATE, ENT_BY_IP)</v>
      </c>
      <c r="AJ230" s="12" t="str">
        <f t="shared" si="101"/>
        <v>VALUES('08802545','IpdClaim.aspx', 'USER', '01', '08', 'ABDUL', SYSDATE, '10.6.100.63');</v>
      </c>
      <c r="AK230" s="12" t="str">
        <f t="shared" si="115"/>
        <v>INSERT INTO sy_perm_list (USER_CD, OPT_CD, ACCESS_TYPE, BRANCH_CODE, CLASS_CODE, ENT_BY, ENT_DATE, ENT_BY_IP)</v>
      </c>
      <c r="AL230" s="12" t="str">
        <f t="shared" si="102"/>
        <v>VALUES('08802545','OpdClaim.aspx', 'USER', '01', '08', 'ABDUL', SYSDATE, '10.6.100.63');</v>
      </c>
      <c r="AM230" s="12" t="str">
        <f t="shared" si="116"/>
        <v>INSERT INTO sy_perm_list (USER_CD, OPT_CD, ACCESS_TYPE, BRANCH_CODE, CLASS_CODE, ENT_BY, ENT_DATE, ENT_BY_IP)</v>
      </c>
      <c r="AN230" s="12" t="str">
        <f t="shared" si="103"/>
        <v>VALUES('08802545','RequestDetails.aspx', 'USER', '01', '08', 'ABDUL', SYSDATE, '10.6.100.63');</v>
      </c>
      <c r="AO230" s="12" t="str">
        <f t="shared" si="117"/>
        <v>INSERT INTO sy_perm_list (USER_CD, OPT_CD, ACCESS_TYPE, BRANCH_CODE, CLASS_CODE, ENT_BY, ENT_DATE, ENT_BY_IP)</v>
      </c>
      <c r="AP230" s="12" t="str">
        <f t="shared" si="104"/>
        <v>VALUES('08802545','TodaysRequest.aspx', 'USER', '01', '08', 'ABDUL', SYSDATE, '10.6.100.63');</v>
      </c>
    </row>
    <row r="231" spans="2:42" ht="77.25" x14ac:dyDescent="0.25">
      <c r="B231" s="37" t="s">
        <v>1087</v>
      </c>
      <c r="F231" s="5" t="s">
        <v>287</v>
      </c>
      <c r="G231" s="6" t="s">
        <v>288</v>
      </c>
      <c r="J231" s="59" t="s">
        <v>1088</v>
      </c>
      <c r="K231" s="59" t="s">
        <v>1089</v>
      </c>
      <c r="L231" s="49" t="s">
        <v>1090</v>
      </c>
      <c r="M231" s="11" t="s">
        <v>1091</v>
      </c>
      <c r="S231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1" s="12" t="str">
        <f t="shared" si="106"/>
        <v>VALUES('08802460','Pak Tectonic Services (Pvt.) Limited','Salaam@123','Y','N',sysdate,'016', 'C', 'Client', 'johar.rizvi@gettectonic.com','01','B', '08', 'ABDUL', sysdate, '10.6.100.63', '08802460');</v>
      </c>
      <c r="U231" s="12" t="str">
        <f t="shared" si="89"/>
        <v>INSERT INTO sy_user_branches (USER_CD, BRANCH_CODE, CLASS_CODE, ENT_BY, ENT_DATE, ENT_BY_IP)</v>
      </c>
      <c r="V231" s="12" t="str">
        <f t="shared" si="99"/>
        <v>values('08802460','01', '08', 'ABDUL', sysdate, '10.6.100.63');</v>
      </c>
      <c r="W231" s="12" t="str">
        <f t="shared" si="108"/>
        <v>INSERT INTO sy_perm_list (USER_CD, OPT_CD, ACCESS_TYPE, BRANCH_CODE, CLASS_CODE, ENT_BY, ENT_DATE, ENT_BY_IP)</v>
      </c>
      <c r="X231" s="12" t="str">
        <f t="shared" si="100"/>
        <v>VALUES('08802460','ClaimComments.aspx', 'USER', '01', '08', 'ABDUL', SYSDATE, '10.6.100.63');</v>
      </c>
      <c r="Y231" s="12" t="str">
        <f t="shared" si="109"/>
        <v>INSERT INTO sy_perm_list (USER_CD, OPT_CD, ACCESS_TYPE, BRANCH_CODE, CLASS_CODE, ENT_BY, ENT_DATE, ENT_BY_IP)</v>
      </c>
      <c r="Z231" s="12" t="str">
        <f t="shared" si="107"/>
        <v>VALUES('08802460','ClaimDocs.aspx', 'USER', '01', '08', 'ABDUL', SYSDATE, '10.6.100.63');</v>
      </c>
      <c r="AA231" s="12" t="str">
        <f t="shared" si="110"/>
        <v>INSERT INTO sy_perm_list (USER_CD, OPT_CD, ACCESS_TYPE, BRANCH_CODE, CLASS_CODE, ENT_BY, ENT_DATE, ENT_BY_IP)</v>
      </c>
      <c r="AB231" s="12" t="str">
        <f t="shared" si="93"/>
        <v>VALUES('08802460','Client.aspx', 'USER', '01', '08', 'ABDUL', SYSDATE, '10.6.100.63');</v>
      </c>
      <c r="AC231" s="12" t="str">
        <f t="shared" si="111"/>
        <v>INSERT INTO sy_perm_list (USER_CD, OPT_CD, ACCESS_TYPE, BRANCH_CODE, CLASS_CODE, ENT_BY, ENT_DATE, ENT_BY_IP)</v>
      </c>
      <c r="AD231" s="12" t="str">
        <f t="shared" si="94"/>
        <v>VALUES('08802460','ClientReports.aspx', 'USER', '01', '08', 'ABDUL', SYSDATE, '10.6.100.63');</v>
      </c>
      <c r="AE231" s="12" t="str">
        <f t="shared" si="112"/>
        <v>INSERT INTO sy_perm_list (USER_CD, OPT_CD, ACCESS_TYPE, BRANCH_CODE, CLASS_CODE, ENT_BY, ENT_DATE, ENT_BY_IP)</v>
      </c>
      <c r="AF231" s="12" t="str">
        <f t="shared" si="95"/>
        <v>VALUES('08802460','ClientRequests.aspx', 'USER', '01', '08', 'ABDUL', SYSDATE, '10.6.100.63');</v>
      </c>
      <c r="AG231" s="12" t="str">
        <f t="shared" si="113"/>
        <v>INSERT INTO sy_perm_list (USER_CD, OPT_CD, ACCESS_TYPE, BRANCH_CODE, CLASS_CODE, ENT_BY, ENT_DATE, ENT_BY_IP)</v>
      </c>
      <c r="AH231" s="12" t="str">
        <f t="shared" si="96"/>
        <v>VALUES('08802460','HealthLife.aspx', 'USER', '01', '08', 'ABDUL', SYSDATE, '10.6.100.63');</v>
      </c>
      <c r="AI231" s="12" t="str">
        <f t="shared" si="114"/>
        <v>INSERT INTO sy_perm_list (USER_CD, OPT_CD, ACCESS_TYPE, BRANCH_CODE, CLASS_CODE, ENT_BY, ENT_DATE, ENT_BY_IP)</v>
      </c>
      <c r="AJ231" s="12" t="str">
        <f t="shared" si="101"/>
        <v>VALUES('08802460','IpdClaim.aspx', 'USER', '01', '08', 'ABDUL', SYSDATE, '10.6.100.63');</v>
      </c>
      <c r="AK231" s="12" t="str">
        <f t="shared" si="115"/>
        <v>INSERT INTO sy_perm_list (USER_CD, OPT_CD, ACCESS_TYPE, BRANCH_CODE, CLASS_CODE, ENT_BY, ENT_DATE, ENT_BY_IP)</v>
      </c>
      <c r="AL231" s="12" t="str">
        <f t="shared" si="102"/>
        <v>VALUES('08802460','OpdClaim.aspx', 'USER', '01', '08', 'ABDUL', SYSDATE, '10.6.100.63');</v>
      </c>
      <c r="AM231" s="12" t="str">
        <f t="shared" si="116"/>
        <v>INSERT INTO sy_perm_list (USER_CD, OPT_CD, ACCESS_TYPE, BRANCH_CODE, CLASS_CODE, ENT_BY, ENT_DATE, ENT_BY_IP)</v>
      </c>
      <c r="AN231" s="12" t="str">
        <f t="shared" si="103"/>
        <v>VALUES('08802460','RequestDetails.aspx', 'USER', '01', '08', 'ABDUL', SYSDATE, '10.6.100.63');</v>
      </c>
      <c r="AO231" s="12" t="str">
        <f t="shared" si="117"/>
        <v>INSERT INTO sy_perm_list (USER_CD, OPT_CD, ACCESS_TYPE, BRANCH_CODE, CLASS_CODE, ENT_BY, ENT_DATE, ENT_BY_IP)</v>
      </c>
      <c r="AP231" s="12" t="str">
        <f t="shared" si="104"/>
        <v>VALUES('08802460','TodaysRequest.aspx', 'USER', '01', '08', 'ABDUL', SYSDATE, '10.6.100.63');</v>
      </c>
    </row>
    <row r="232" spans="2:42" ht="77.25" x14ac:dyDescent="0.25">
      <c r="B232" s="37" t="s">
        <v>1094</v>
      </c>
      <c r="F232" s="5" t="s">
        <v>287</v>
      </c>
      <c r="G232" s="6" t="s">
        <v>288</v>
      </c>
      <c r="J232" s="59" t="s">
        <v>1095</v>
      </c>
      <c r="K232" s="59" t="s">
        <v>1098</v>
      </c>
      <c r="L232" s="49" t="s">
        <v>1097</v>
      </c>
      <c r="M232" s="11" t="s">
        <v>1096</v>
      </c>
      <c r="O232" s="7">
        <v>44448</v>
      </c>
      <c r="P232" s="7">
        <v>44812</v>
      </c>
      <c r="S232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2" s="12" t="str">
        <f t="shared" si="106"/>
        <v>VALUES('08800899','UNICON INTERNATIONAL (PVT) LIMITED','Salaam@123','Y','N',sysdate,'016', 'C', 'Client', 'hr@unicongroup.com.pk','01','B', '08', 'ABDUL', sysdate, '10.6.100.63', '08800899');</v>
      </c>
      <c r="U232" s="12" t="str">
        <f t="shared" si="89"/>
        <v>INSERT INTO sy_user_branches (USER_CD, BRANCH_CODE, CLASS_CODE, ENT_BY, ENT_DATE, ENT_BY_IP)</v>
      </c>
      <c r="V232" s="12" t="str">
        <f t="shared" si="99"/>
        <v>values('08800899','01', '08', 'ABDUL', sysdate, '10.6.100.63');</v>
      </c>
      <c r="W232" s="12" t="str">
        <f t="shared" si="108"/>
        <v>INSERT INTO sy_perm_list (USER_CD, OPT_CD, ACCESS_TYPE, BRANCH_CODE, CLASS_CODE, ENT_BY, ENT_DATE, ENT_BY_IP)</v>
      </c>
      <c r="X232" s="12" t="str">
        <f t="shared" si="100"/>
        <v>VALUES('08800899','ClaimComments.aspx', 'USER', '01', '08', 'ABDUL', SYSDATE, '10.6.100.63');</v>
      </c>
      <c r="Y232" s="12" t="str">
        <f t="shared" si="109"/>
        <v>INSERT INTO sy_perm_list (USER_CD, OPT_CD, ACCESS_TYPE, BRANCH_CODE, CLASS_CODE, ENT_BY, ENT_DATE, ENT_BY_IP)</v>
      </c>
      <c r="Z232" s="12" t="str">
        <f t="shared" si="107"/>
        <v>VALUES('08800899','ClaimDocs.aspx', 'USER', '01', '08', 'ABDUL', SYSDATE, '10.6.100.63');</v>
      </c>
      <c r="AA232" s="12" t="str">
        <f t="shared" si="110"/>
        <v>INSERT INTO sy_perm_list (USER_CD, OPT_CD, ACCESS_TYPE, BRANCH_CODE, CLASS_CODE, ENT_BY, ENT_DATE, ENT_BY_IP)</v>
      </c>
      <c r="AB232" s="12" t="str">
        <f t="shared" si="93"/>
        <v>VALUES('08800899','Client.aspx', 'USER', '01', '08', 'ABDUL', SYSDATE, '10.6.100.63');</v>
      </c>
      <c r="AC232" s="12" t="str">
        <f t="shared" si="111"/>
        <v>INSERT INTO sy_perm_list (USER_CD, OPT_CD, ACCESS_TYPE, BRANCH_CODE, CLASS_CODE, ENT_BY, ENT_DATE, ENT_BY_IP)</v>
      </c>
      <c r="AD232" s="12" t="str">
        <f t="shared" si="94"/>
        <v>VALUES('08800899','ClientReports.aspx', 'USER', '01', '08', 'ABDUL', SYSDATE, '10.6.100.63');</v>
      </c>
      <c r="AE232" s="12" t="str">
        <f t="shared" si="112"/>
        <v>INSERT INTO sy_perm_list (USER_CD, OPT_CD, ACCESS_TYPE, BRANCH_CODE, CLASS_CODE, ENT_BY, ENT_DATE, ENT_BY_IP)</v>
      </c>
      <c r="AF232" s="12" t="str">
        <f t="shared" si="95"/>
        <v>VALUES('08800899','ClientRequests.aspx', 'USER', '01', '08', 'ABDUL', SYSDATE, '10.6.100.63');</v>
      </c>
      <c r="AG232" s="12" t="str">
        <f t="shared" si="113"/>
        <v>INSERT INTO sy_perm_list (USER_CD, OPT_CD, ACCESS_TYPE, BRANCH_CODE, CLASS_CODE, ENT_BY, ENT_DATE, ENT_BY_IP)</v>
      </c>
      <c r="AH232" s="12" t="str">
        <f t="shared" si="96"/>
        <v>VALUES('08800899','HealthLife.aspx', 'USER', '01', '08', 'ABDUL', SYSDATE, '10.6.100.63');</v>
      </c>
      <c r="AI232" s="12" t="str">
        <f t="shared" si="114"/>
        <v>INSERT INTO sy_perm_list (USER_CD, OPT_CD, ACCESS_TYPE, BRANCH_CODE, CLASS_CODE, ENT_BY, ENT_DATE, ENT_BY_IP)</v>
      </c>
      <c r="AJ232" s="12" t="str">
        <f t="shared" si="101"/>
        <v>VALUES('08800899','IpdClaim.aspx', 'USER', '01', '08', 'ABDUL', SYSDATE, '10.6.100.63');</v>
      </c>
      <c r="AK232" s="12" t="str">
        <f t="shared" si="115"/>
        <v>INSERT INTO sy_perm_list (USER_CD, OPT_CD, ACCESS_TYPE, BRANCH_CODE, CLASS_CODE, ENT_BY, ENT_DATE, ENT_BY_IP)</v>
      </c>
      <c r="AL232" s="12" t="str">
        <f t="shared" si="102"/>
        <v>VALUES('08800899','OpdClaim.aspx', 'USER', '01', '08', 'ABDUL', SYSDATE, '10.6.100.63');</v>
      </c>
      <c r="AM232" s="12" t="str">
        <f t="shared" si="116"/>
        <v>INSERT INTO sy_perm_list (USER_CD, OPT_CD, ACCESS_TYPE, BRANCH_CODE, CLASS_CODE, ENT_BY, ENT_DATE, ENT_BY_IP)</v>
      </c>
      <c r="AN232" s="12" t="str">
        <f t="shared" si="103"/>
        <v>VALUES('08800899','RequestDetails.aspx', 'USER', '01', '08', 'ABDUL', SYSDATE, '10.6.100.63');</v>
      </c>
      <c r="AO232" s="12" t="str">
        <f t="shared" si="117"/>
        <v>INSERT INTO sy_perm_list (USER_CD, OPT_CD, ACCESS_TYPE, BRANCH_CODE, CLASS_CODE, ENT_BY, ENT_DATE, ENT_BY_IP)</v>
      </c>
      <c r="AP232" s="12" t="str">
        <f t="shared" si="104"/>
        <v>VALUES('08800899','TodaysRequest.aspx', 'USER', '01', '08', 'ABDUL', SYSDATE, '10.6.100.63');</v>
      </c>
    </row>
    <row r="233" spans="2:42" ht="77.25" x14ac:dyDescent="0.25">
      <c r="B233" s="37" t="s">
        <v>1099</v>
      </c>
      <c r="F233" s="5" t="s">
        <v>287</v>
      </c>
      <c r="G233" s="6" t="s">
        <v>288</v>
      </c>
      <c r="J233" s="59" t="s">
        <v>1100</v>
      </c>
      <c r="K233" s="59" t="s">
        <v>1101</v>
      </c>
      <c r="L233" s="49" t="s">
        <v>1102</v>
      </c>
      <c r="M233" s="11" t="s">
        <v>1103</v>
      </c>
      <c r="O233" s="7">
        <v>44423</v>
      </c>
      <c r="P233" s="7">
        <v>44787</v>
      </c>
      <c r="S233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3" s="12" t="str">
        <f t="shared" si="106"/>
        <v>VALUES('08802539','OSSOLS (PRIVATE) LIMITED','Salaam@123','Y','N',sysdate,'016', 'C', 'Client', 'sana.amir@ossols.com','01','B', '08', 'ABDUL', sysdate, '10.6.100.63', '08802539');</v>
      </c>
      <c r="U233" s="12" t="str">
        <f t="shared" si="89"/>
        <v>INSERT INTO sy_user_branches (USER_CD, BRANCH_CODE, CLASS_CODE, ENT_BY, ENT_DATE, ENT_BY_IP)</v>
      </c>
      <c r="V233" s="12" t="str">
        <f t="shared" si="99"/>
        <v>values('08802539','01', '08', 'ABDUL', sysdate, '10.6.100.63');</v>
      </c>
      <c r="W233" s="12" t="str">
        <f t="shared" si="108"/>
        <v>INSERT INTO sy_perm_list (USER_CD, OPT_CD, ACCESS_TYPE, BRANCH_CODE, CLASS_CODE, ENT_BY, ENT_DATE, ENT_BY_IP)</v>
      </c>
      <c r="X233" s="12" t="str">
        <f t="shared" si="100"/>
        <v>VALUES('08802539','ClaimComments.aspx', 'USER', '01', '08', 'ABDUL', SYSDATE, '10.6.100.63');</v>
      </c>
      <c r="Y233" s="12" t="str">
        <f t="shared" si="109"/>
        <v>INSERT INTO sy_perm_list (USER_CD, OPT_CD, ACCESS_TYPE, BRANCH_CODE, CLASS_CODE, ENT_BY, ENT_DATE, ENT_BY_IP)</v>
      </c>
      <c r="Z233" s="12" t="str">
        <f t="shared" si="107"/>
        <v>VALUES('08802539','ClaimDocs.aspx', 'USER', '01', '08', 'ABDUL', SYSDATE, '10.6.100.63');</v>
      </c>
      <c r="AA233" s="12" t="str">
        <f t="shared" si="110"/>
        <v>INSERT INTO sy_perm_list (USER_CD, OPT_CD, ACCESS_TYPE, BRANCH_CODE, CLASS_CODE, ENT_BY, ENT_DATE, ENT_BY_IP)</v>
      </c>
      <c r="AB233" s="12" t="str">
        <f t="shared" si="93"/>
        <v>VALUES('08802539','Client.aspx', 'USER', '01', '08', 'ABDUL', SYSDATE, '10.6.100.63');</v>
      </c>
      <c r="AC233" s="12" t="str">
        <f t="shared" si="111"/>
        <v>INSERT INTO sy_perm_list (USER_CD, OPT_CD, ACCESS_TYPE, BRANCH_CODE, CLASS_CODE, ENT_BY, ENT_DATE, ENT_BY_IP)</v>
      </c>
      <c r="AD233" s="12" t="str">
        <f t="shared" si="94"/>
        <v>VALUES('08802539','ClientReports.aspx', 'USER', '01', '08', 'ABDUL', SYSDATE, '10.6.100.63');</v>
      </c>
      <c r="AE233" s="12" t="str">
        <f t="shared" si="112"/>
        <v>INSERT INTO sy_perm_list (USER_CD, OPT_CD, ACCESS_TYPE, BRANCH_CODE, CLASS_CODE, ENT_BY, ENT_DATE, ENT_BY_IP)</v>
      </c>
      <c r="AF233" s="12" t="str">
        <f t="shared" si="95"/>
        <v>VALUES('08802539','ClientRequests.aspx', 'USER', '01', '08', 'ABDUL', SYSDATE, '10.6.100.63');</v>
      </c>
      <c r="AG233" s="12" t="str">
        <f t="shared" si="113"/>
        <v>INSERT INTO sy_perm_list (USER_CD, OPT_CD, ACCESS_TYPE, BRANCH_CODE, CLASS_CODE, ENT_BY, ENT_DATE, ENT_BY_IP)</v>
      </c>
      <c r="AH233" s="12" t="str">
        <f t="shared" si="96"/>
        <v>VALUES('08802539','HealthLife.aspx', 'USER', '01', '08', 'ABDUL', SYSDATE, '10.6.100.63');</v>
      </c>
      <c r="AI233" s="12" t="str">
        <f t="shared" si="114"/>
        <v>INSERT INTO sy_perm_list (USER_CD, OPT_CD, ACCESS_TYPE, BRANCH_CODE, CLASS_CODE, ENT_BY, ENT_DATE, ENT_BY_IP)</v>
      </c>
      <c r="AJ233" s="12" t="str">
        <f t="shared" si="101"/>
        <v>VALUES('08802539','IpdClaim.aspx', 'USER', '01', '08', 'ABDUL', SYSDATE, '10.6.100.63');</v>
      </c>
      <c r="AK233" s="12" t="str">
        <f t="shared" si="115"/>
        <v>INSERT INTO sy_perm_list (USER_CD, OPT_CD, ACCESS_TYPE, BRANCH_CODE, CLASS_CODE, ENT_BY, ENT_DATE, ENT_BY_IP)</v>
      </c>
      <c r="AL233" s="12" t="str">
        <f t="shared" si="102"/>
        <v>VALUES('08802539','OpdClaim.aspx', 'USER', '01', '08', 'ABDUL', SYSDATE, '10.6.100.63');</v>
      </c>
      <c r="AM233" s="12" t="str">
        <f t="shared" si="116"/>
        <v>INSERT INTO sy_perm_list (USER_CD, OPT_CD, ACCESS_TYPE, BRANCH_CODE, CLASS_CODE, ENT_BY, ENT_DATE, ENT_BY_IP)</v>
      </c>
      <c r="AN233" s="12" t="str">
        <f t="shared" si="103"/>
        <v>VALUES('08802539','RequestDetails.aspx', 'USER', '01', '08', 'ABDUL', SYSDATE, '10.6.100.63');</v>
      </c>
      <c r="AO233" s="12" t="str">
        <f t="shared" si="117"/>
        <v>INSERT INTO sy_perm_list (USER_CD, OPT_CD, ACCESS_TYPE, BRANCH_CODE, CLASS_CODE, ENT_BY, ENT_DATE, ENT_BY_IP)</v>
      </c>
      <c r="AP233" s="12" t="str">
        <f t="shared" si="104"/>
        <v>VALUES('08802539','TodaysRequest.aspx', 'USER', '01', '08', 'ABDUL', SYSDATE, '10.6.100.63');</v>
      </c>
    </row>
    <row r="234" spans="2:42" ht="77.25" x14ac:dyDescent="0.25">
      <c r="B234" s="37" t="s">
        <v>1104</v>
      </c>
      <c r="F234" s="5" t="s">
        <v>287</v>
      </c>
      <c r="G234" s="6" t="s">
        <v>288</v>
      </c>
      <c r="J234" s="59" t="s">
        <v>1105</v>
      </c>
      <c r="K234" s="59" t="s">
        <v>1106</v>
      </c>
      <c r="L234" s="49" t="s">
        <v>635</v>
      </c>
      <c r="M234" s="11" t="s">
        <v>1107</v>
      </c>
      <c r="O234" s="7">
        <v>44409</v>
      </c>
      <c r="P234" s="7">
        <v>44773</v>
      </c>
      <c r="S234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4" s="12" t="str">
        <f t="shared" si="106"/>
        <v>VALUES('08802373','Muslim Welfare Centre (Trust)','Salaam@123','Y','N',sysdate,'016', 'C', 'Client', 'kahmed@mwcanada.org','01','B', '08', 'ABDUL', sysdate, '10.6.100.63', '08802373');</v>
      </c>
      <c r="U234" s="12" t="str">
        <f t="shared" si="89"/>
        <v>INSERT INTO sy_user_branches (USER_CD, BRANCH_CODE, CLASS_CODE, ENT_BY, ENT_DATE, ENT_BY_IP)</v>
      </c>
      <c r="V234" s="12" t="str">
        <f t="shared" si="99"/>
        <v>values('08802373','01', '08', 'ABDUL', sysdate, '10.6.100.63');</v>
      </c>
      <c r="W234" s="12" t="str">
        <f t="shared" si="108"/>
        <v>INSERT INTO sy_perm_list (USER_CD, OPT_CD, ACCESS_TYPE, BRANCH_CODE, CLASS_CODE, ENT_BY, ENT_DATE, ENT_BY_IP)</v>
      </c>
      <c r="X234" s="12" t="str">
        <f t="shared" si="100"/>
        <v>VALUES('08802373','ClaimComments.aspx', 'USER', '01', '08', 'ABDUL', SYSDATE, '10.6.100.63');</v>
      </c>
      <c r="Y234" s="12" t="str">
        <f t="shared" si="109"/>
        <v>INSERT INTO sy_perm_list (USER_CD, OPT_CD, ACCESS_TYPE, BRANCH_CODE, CLASS_CODE, ENT_BY, ENT_DATE, ENT_BY_IP)</v>
      </c>
      <c r="Z234" s="12" t="str">
        <f t="shared" si="107"/>
        <v>VALUES('08802373','ClaimDocs.aspx', 'USER', '01', '08', 'ABDUL', SYSDATE, '10.6.100.63');</v>
      </c>
      <c r="AA234" s="12" t="str">
        <f t="shared" si="110"/>
        <v>INSERT INTO sy_perm_list (USER_CD, OPT_CD, ACCESS_TYPE, BRANCH_CODE, CLASS_CODE, ENT_BY, ENT_DATE, ENT_BY_IP)</v>
      </c>
      <c r="AB234" s="12" t="str">
        <f t="shared" si="93"/>
        <v>VALUES('08802373','Client.aspx', 'USER', '01', '08', 'ABDUL', SYSDATE, '10.6.100.63');</v>
      </c>
      <c r="AC234" s="12" t="str">
        <f t="shared" si="111"/>
        <v>INSERT INTO sy_perm_list (USER_CD, OPT_CD, ACCESS_TYPE, BRANCH_CODE, CLASS_CODE, ENT_BY, ENT_DATE, ENT_BY_IP)</v>
      </c>
      <c r="AD234" s="12" t="str">
        <f t="shared" si="94"/>
        <v>VALUES('08802373','ClientReports.aspx', 'USER', '01', '08', 'ABDUL', SYSDATE, '10.6.100.63');</v>
      </c>
      <c r="AE234" s="12" t="str">
        <f t="shared" si="112"/>
        <v>INSERT INTO sy_perm_list (USER_CD, OPT_CD, ACCESS_TYPE, BRANCH_CODE, CLASS_CODE, ENT_BY, ENT_DATE, ENT_BY_IP)</v>
      </c>
      <c r="AF234" s="12" t="str">
        <f t="shared" si="95"/>
        <v>VALUES('08802373','ClientRequests.aspx', 'USER', '01', '08', 'ABDUL', SYSDATE, '10.6.100.63');</v>
      </c>
      <c r="AG234" s="12" t="str">
        <f t="shared" si="113"/>
        <v>INSERT INTO sy_perm_list (USER_CD, OPT_CD, ACCESS_TYPE, BRANCH_CODE, CLASS_CODE, ENT_BY, ENT_DATE, ENT_BY_IP)</v>
      </c>
      <c r="AH234" s="12" t="str">
        <f t="shared" si="96"/>
        <v>VALUES('08802373','HealthLife.aspx', 'USER', '01', '08', 'ABDUL', SYSDATE, '10.6.100.63');</v>
      </c>
      <c r="AI234" s="12" t="str">
        <f t="shared" si="114"/>
        <v>INSERT INTO sy_perm_list (USER_CD, OPT_CD, ACCESS_TYPE, BRANCH_CODE, CLASS_CODE, ENT_BY, ENT_DATE, ENT_BY_IP)</v>
      </c>
      <c r="AJ234" s="12" t="str">
        <f t="shared" si="101"/>
        <v>VALUES('08802373','IpdClaim.aspx', 'USER', '01', '08', 'ABDUL', SYSDATE, '10.6.100.63');</v>
      </c>
      <c r="AK234" s="12" t="str">
        <f t="shared" si="115"/>
        <v>INSERT INTO sy_perm_list (USER_CD, OPT_CD, ACCESS_TYPE, BRANCH_CODE, CLASS_CODE, ENT_BY, ENT_DATE, ENT_BY_IP)</v>
      </c>
      <c r="AL234" s="12" t="str">
        <f t="shared" si="102"/>
        <v>VALUES('08802373','OpdClaim.aspx', 'USER', '01', '08', 'ABDUL', SYSDATE, '10.6.100.63');</v>
      </c>
      <c r="AM234" s="12" t="str">
        <f t="shared" si="116"/>
        <v>INSERT INTO sy_perm_list (USER_CD, OPT_CD, ACCESS_TYPE, BRANCH_CODE, CLASS_CODE, ENT_BY, ENT_DATE, ENT_BY_IP)</v>
      </c>
      <c r="AN234" s="12" t="str">
        <f t="shared" si="103"/>
        <v>VALUES('08802373','RequestDetails.aspx', 'USER', '01', '08', 'ABDUL', SYSDATE, '10.6.100.63');</v>
      </c>
      <c r="AO234" s="12" t="str">
        <f t="shared" si="117"/>
        <v>INSERT INTO sy_perm_list (USER_CD, OPT_CD, ACCESS_TYPE, BRANCH_CODE, CLASS_CODE, ENT_BY, ENT_DATE, ENT_BY_IP)</v>
      </c>
      <c r="AP234" s="12" t="str">
        <f t="shared" si="104"/>
        <v>VALUES('08802373','TodaysRequest.aspx', 'USER', '01', '08', 'ABDUL', SYSDATE, '10.6.100.63');</v>
      </c>
    </row>
    <row r="235" spans="2:42" ht="77.25" x14ac:dyDescent="0.25">
      <c r="B235" s="37" t="s">
        <v>1108</v>
      </c>
      <c r="F235" s="5" t="s">
        <v>287</v>
      </c>
      <c r="G235" s="6" t="s">
        <v>288</v>
      </c>
      <c r="J235" s="59" t="s">
        <v>1109</v>
      </c>
      <c r="K235" s="59" t="s">
        <v>1110</v>
      </c>
      <c r="L235" s="13" t="s">
        <v>1111</v>
      </c>
      <c r="M235" t="s">
        <v>1112</v>
      </c>
      <c r="S235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5" s="12" t="str">
        <f t="shared" si="106"/>
        <v>VALUES('08802643','Islamabad Industrial &amp; Trading Corporation','Salaam@123','Y','N',sysdate,'016', 'C', 'Client', 'HR dept hrdept.elv@gmail.com','01','B', '08', 'ABDUL', sysdate, '10.6.100.63', '08802643');</v>
      </c>
      <c r="U235" s="12" t="str">
        <f t="shared" si="89"/>
        <v>INSERT INTO sy_user_branches (USER_CD, BRANCH_CODE, CLASS_CODE, ENT_BY, ENT_DATE, ENT_BY_IP)</v>
      </c>
      <c r="V235" s="12" t="str">
        <f t="shared" si="99"/>
        <v>values('08802643','01', '08', 'ABDUL', sysdate, '10.6.100.63');</v>
      </c>
      <c r="W235" s="12" t="str">
        <f t="shared" si="108"/>
        <v>INSERT INTO sy_perm_list (USER_CD, OPT_CD, ACCESS_TYPE, BRANCH_CODE, CLASS_CODE, ENT_BY, ENT_DATE, ENT_BY_IP)</v>
      </c>
      <c r="X235" s="12" t="str">
        <f t="shared" si="100"/>
        <v>VALUES('08802643','ClaimComments.aspx', 'USER', '01', '08', 'ABDUL', SYSDATE, '10.6.100.63');</v>
      </c>
      <c r="Y235" s="12" t="str">
        <f t="shared" si="109"/>
        <v>INSERT INTO sy_perm_list (USER_CD, OPT_CD, ACCESS_TYPE, BRANCH_CODE, CLASS_CODE, ENT_BY, ENT_DATE, ENT_BY_IP)</v>
      </c>
      <c r="Z235" s="12" t="str">
        <f t="shared" si="107"/>
        <v>VALUES('08802643','ClaimDocs.aspx', 'USER', '01', '08', 'ABDUL', SYSDATE, '10.6.100.63');</v>
      </c>
      <c r="AA235" s="12" t="str">
        <f t="shared" si="110"/>
        <v>INSERT INTO sy_perm_list (USER_CD, OPT_CD, ACCESS_TYPE, BRANCH_CODE, CLASS_CODE, ENT_BY, ENT_DATE, ENT_BY_IP)</v>
      </c>
      <c r="AB235" s="12" t="str">
        <f t="shared" si="93"/>
        <v>VALUES('08802643','Client.aspx', 'USER', '01', '08', 'ABDUL', SYSDATE, '10.6.100.63');</v>
      </c>
      <c r="AC235" s="12" t="str">
        <f t="shared" si="111"/>
        <v>INSERT INTO sy_perm_list (USER_CD, OPT_CD, ACCESS_TYPE, BRANCH_CODE, CLASS_CODE, ENT_BY, ENT_DATE, ENT_BY_IP)</v>
      </c>
      <c r="AD235" s="12" t="str">
        <f t="shared" si="94"/>
        <v>VALUES('08802643','ClientReports.aspx', 'USER', '01', '08', 'ABDUL', SYSDATE, '10.6.100.63');</v>
      </c>
      <c r="AE235" s="12" t="str">
        <f t="shared" si="112"/>
        <v>INSERT INTO sy_perm_list (USER_CD, OPT_CD, ACCESS_TYPE, BRANCH_CODE, CLASS_CODE, ENT_BY, ENT_DATE, ENT_BY_IP)</v>
      </c>
      <c r="AF235" s="12" t="str">
        <f t="shared" si="95"/>
        <v>VALUES('08802643','ClientRequests.aspx', 'USER', '01', '08', 'ABDUL', SYSDATE, '10.6.100.63');</v>
      </c>
      <c r="AG235" s="12" t="str">
        <f t="shared" si="113"/>
        <v>INSERT INTO sy_perm_list (USER_CD, OPT_CD, ACCESS_TYPE, BRANCH_CODE, CLASS_CODE, ENT_BY, ENT_DATE, ENT_BY_IP)</v>
      </c>
      <c r="AH235" s="12" t="str">
        <f t="shared" si="96"/>
        <v>VALUES('08802643','HealthLife.aspx', 'USER', '01', '08', 'ABDUL', SYSDATE, '10.6.100.63');</v>
      </c>
      <c r="AI235" s="12" t="str">
        <f t="shared" si="114"/>
        <v>INSERT INTO sy_perm_list (USER_CD, OPT_CD, ACCESS_TYPE, BRANCH_CODE, CLASS_CODE, ENT_BY, ENT_DATE, ENT_BY_IP)</v>
      </c>
      <c r="AJ235" s="12" t="str">
        <f t="shared" si="101"/>
        <v>VALUES('08802643','IpdClaim.aspx', 'USER', '01', '08', 'ABDUL', SYSDATE, '10.6.100.63');</v>
      </c>
      <c r="AK235" s="12" t="str">
        <f t="shared" si="115"/>
        <v>INSERT INTO sy_perm_list (USER_CD, OPT_CD, ACCESS_TYPE, BRANCH_CODE, CLASS_CODE, ENT_BY, ENT_DATE, ENT_BY_IP)</v>
      </c>
      <c r="AL235" s="12" t="str">
        <f t="shared" si="102"/>
        <v>VALUES('08802643','OpdClaim.aspx', 'USER', '01', '08', 'ABDUL', SYSDATE, '10.6.100.63');</v>
      </c>
      <c r="AM235" s="12" t="str">
        <f t="shared" si="116"/>
        <v>INSERT INTO sy_perm_list (USER_CD, OPT_CD, ACCESS_TYPE, BRANCH_CODE, CLASS_CODE, ENT_BY, ENT_DATE, ENT_BY_IP)</v>
      </c>
      <c r="AN235" s="12" t="str">
        <f t="shared" si="103"/>
        <v>VALUES('08802643','RequestDetails.aspx', 'USER', '01', '08', 'ABDUL', SYSDATE, '10.6.100.63');</v>
      </c>
      <c r="AO235" s="12" t="str">
        <f t="shared" si="117"/>
        <v>INSERT INTO sy_perm_list (USER_CD, OPT_CD, ACCESS_TYPE, BRANCH_CODE, CLASS_CODE, ENT_BY, ENT_DATE, ENT_BY_IP)</v>
      </c>
      <c r="AP235" s="12" t="str">
        <f t="shared" si="104"/>
        <v>VALUES('08802643','TodaysRequest.aspx', 'USER', '01', '08', 'ABDUL', SYSDATE, '10.6.100.63');</v>
      </c>
    </row>
    <row r="236" spans="2:42" ht="77.25" x14ac:dyDescent="0.25">
      <c r="B236" s="37" t="s">
        <v>1114</v>
      </c>
      <c r="F236" s="5" t="s">
        <v>287</v>
      </c>
      <c r="G236" s="6" t="s">
        <v>288</v>
      </c>
      <c r="J236" s="59" t="s">
        <v>1115</v>
      </c>
      <c r="K236" s="59" t="s">
        <v>1128</v>
      </c>
      <c r="L236" s="49" t="s">
        <v>1142</v>
      </c>
      <c r="M236" s="49" t="s">
        <v>1141</v>
      </c>
      <c r="S236" s="12" t="str">
        <f t="shared" si="98"/>
        <v>insert into sy_users (USER_CD, USER_NAME, USER_PASS, ACTIVE, LOCK_USER, LAST_PASS_DATE, COST_CODE, USER_CATEGORY, DESIGNATION, EMAIL, BRANCH_CODE, USER_TYPE, CLASS_CODE, ENT_BY, ENT_DATE, ENT_BY_IP,PARTTAKER_CODE)</v>
      </c>
      <c r="T236" s="12" t="str">
        <f t="shared" si="106"/>
        <v>VALUES('08802449','Bulk Management (Pakistan) Private Limited','Salaam@123','Y','N',sysdate,'016', 'C', 'Client', 'hammad.iqbal@fib.com.pk','01','B', '08', 'ABDUL', sysdate, '10.6.100.63', '08802449');</v>
      </c>
      <c r="U236" s="12" t="str">
        <f t="shared" si="89"/>
        <v>INSERT INTO sy_user_branches (USER_CD, BRANCH_CODE, CLASS_CODE, ENT_BY, ENT_DATE, ENT_BY_IP)</v>
      </c>
      <c r="V236" s="12" t="str">
        <f t="shared" si="99"/>
        <v>values('08802449','01', '08', 'ABDUL', sysdate, '10.6.100.63');</v>
      </c>
      <c r="W236" s="12" t="str">
        <f t="shared" si="108"/>
        <v>INSERT INTO sy_perm_list (USER_CD, OPT_CD, ACCESS_TYPE, BRANCH_CODE, CLASS_CODE, ENT_BY, ENT_DATE, ENT_BY_IP)</v>
      </c>
      <c r="X236" s="12" t="str">
        <f t="shared" si="100"/>
        <v>VALUES('08802449','ClaimComments.aspx', 'USER', '01', '08', 'ABDUL', SYSDATE, '10.6.100.63');</v>
      </c>
      <c r="Y236" s="12" t="str">
        <f t="shared" si="109"/>
        <v>INSERT INTO sy_perm_list (USER_CD, OPT_CD, ACCESS_TYPE, BRANCH_CODE, CLASS_CODE, ENT_BY, ENT_DATE, ENT_BY_IP)</v>
      </c>
      <c r="Z236" s="12" t="str">
        <f t="shared" si="107"/>
        <v>VALUES('08802449','ClaimDocs.aspx', 'USER', '01', '08', 'ABDUL', SYSDATE, '10.6.100.63');</v>
      </c>
      <c r="AA236" s="12" t="str">
        <f t="shared" si="110"/>
        <v>INSERT INTO sy_perm_list (USER_CD, OPT_CD, ACCESS_TYPE, BRANCH_CODE, CLASS_CODE, ENT_BY, ENT_DATE, ENT_BY_IP)</v>
      </c>
      <c r="AB236" s="12" t="str">
        <f t="shared" si="93"/>
        <v>VALUES('08802449','Client.aspx', 'USER', '01', '08', 'ABDUL', SYSDATE, '10.6.100.63');</v>
      </c>
      <c r="AC236" s="12" t="str">
        <f t="shared" si="111"/>
        <v>INSERT INTO sy_perm_list (USER_CD, OPT_CD, ACCESS_TYPE, BRANCH_CODE, CLASS_CODE, ENT_BY, ENT_DATE, ENT_BY_IP)</v>
      </c>
      <c r="AD236" s="12" t="str">
        <f t="shared" si="94"/>
        <v>VALUES('08802449','ClientReports.aspx', 'USER', '01', '08', 'ABDUL', SYSDATE, '10.6.100.63');</v>
      </c>
      <c r="AE236" s="12" t="str">
        <f t="shared" si="112"/>
        <v>INSERT INTO sy_perm_list (USER_CD, OPT_CD, ACCESS_TYPE, BRANCH_CODE, CLASS_CODE, ENT_BY, ENT_DATE, ENT_BY_IP)</v>
      </c>
      <c r="AF236" s="12" t="str">
        <f t="shared" si="95"/>
        <v>VALUES('08802449','ClientRequests.aspx', 'USER', '01', '08', 'ABDUL', SYSDATE, '10.6.100.63');</v>
      </c>
      <c r="AG236" s="12" t="str">
        <f t="shared" si="113"/>
        <v>INSERT INTO sy_perm_list (USER_CD, OPT_CD, ACCESS_TYPE, BRANCH_CODE, CLASS_CODE, ENT_BY, ENT_DATE, ENT_BY_IP)</v>
      </c>
      <c r="AH236" s="12" t="str">
        <f t="shared" si="96"/>
        <v>VALUES('08802449','HealthLife.aspx', 'USER', '01', '08', 'ABDUL', SYSDATE, '10.6.100.63');</v>
      </c>
      <c r="AI236" s="12" t="str">
        <f t="shared" si="114"/>
        <v>INSERT INTO sy_perm_list (USER_CD, OPT_CD, ACCESS_TYPE, BRANCH_CODE, CLASS_CODE, ENT_BY, ENT_DATE, ENT_BY_IP)</v>
      </c>
      <c r="AJ236" s="12" t="str">
        <f t="shared" si="101"/>
        <v>VALUES('08802449','IpdClaim.aspx', 'USER', '01', '08', 'ABDUL', SYSDATE, '10.6.100.63');</v>
      </c>
      <c r="AK236" s="12" t="str">
        <f t="shared" si="115"/>
        <v>INSERT INTO sy_perm_list (USER_CD, OPT_CD, ACCESS_TYPE, BRANCH_CODE, CLASS_CODE, ENT_BY, ENT_DATE, ENT_BY_IP)</v>
      </c>
      <c r="AL236" s="12" t="str">
        <f t="shared" si="102"/>
        <v>VALUES('08802449','OpdClaim.aspx', 'USER', '01', '08', 'ABDUL', SYSDATE, '10.6.100.63');</v>
      </c>
      <c r="AM236" s="12" t="str">
        <f t="shared" si="116"/>
        <v>INSERT INTO sy_perm_list (USER_CD, OPT_CD, ACCESS_TYPE, BRANCH_CODE, CLASS_CODE, ENT_BY, ENT_DATE, ENT_BY_IP)</v>
      </c>
      <c r="AN236" s="12" t="str">
        <f t="shared" si="103"/>
        <v>VALUES('08802449','RequestDetails.aspx', 'USER', '01', '08', 'ABDUL', SYSDATE, '10.6.100.63');</v>
      </c>
      <c r="AO236" s="12" t="str">
        <f t="shared" si="117"/>
        <v>INSERT INTO sy_perm_list (USER_CD, OPT_CD, ACCESS_TYPE, BRANCH_CODE, CLASS_CODE, ENT_BY, ENT_DATE, ENT_BY_IP)</v>
      </c>
      <c r="AP236" s="12" t="str">
        <f t="shared" si="104"/>
        <v>VALUES('08802449','TodaysRequest.aspx', 'USER', '01', '08', 'ABDUL', SYSDATE, '10.6.100.63');</v>
      </c>
    </row>
    <row r="237" spans="2:42" ht="15" x14ac:dyDescent="0.2">
      <c r="J237" s="59" t="s">
        <v>1116</v>
      </c>
      <c r="K237" s="59" t="s">
        <v>1129</v>
      </c>
    </row>
    <row r="238" spans="2:42" ht="15" x14ac:dyDescent="0.2">
      <c r="J238" s="59" t="s">
        <v>1117</v>
      </c>
      <c r="K238" s="59" t="s">
        <v>1130</v>
      </c>
    </row>
    <row r="239" spans="2:42" ht="15" x14ac:dyDescent="0.2">
      <c r="J239" s="59" t="s">
        <v>1118</v>
      </c>
      <c r="K239" s="59" t="s">
        <v>1131</v>
      </c>
    </row>
    <row r="240" spans="2:42" ht="15" x14ac:dyDescent="0.2">
      <c r="J240" s="59" t="s">
        <v>1119</v>
      </c>
      <c r="K240" s="59" t="s">
        <v>1132</v>
      </c>
    </row>
    <row r="241" spans="2:42" ht="15" x14ac:dyDescent="0.2">
      <c r="J241" s="59" t="s">
        <v>1120</v>
      </c>
      <c r="K241" s="59" t="s">
        <v>1133</v>
      </c>
    </row>
    <row r="242" spans="2:42" ht="15" x14ac:dyDescent="0.2">
      <c r="J242" s="59" t="s">
        <v>1121</v>
      </c>
      <c r="K242" s="59" t="s">
        <v>1134</v>
      </c>
    </row>
    <row r="243" spans="2:42" ht="15" x14ac:dyDescent="0.2">
      <c r="J243" s="59" t="s">
        <v>1122</v>
      </c>
      <c r="K243" s="59" t="s">
        <v>1135</v>
      </c>
    </row>
    <row r="244" spans="2:42" ht="15" x14ac:dyDescent="0.2">
      <c r="J244" s="59" t="s">
        <v>1123</v>
      </c>
      <c r="K244" s="59" t="s">
        <v>1136</v>
      </c>
    </row>
    <row r="245" spans="2:42" ht="15" x14ac:dyDescent="0.2">
      <c r="J245" s="59" t="s">
        <v>1124</v>
      </c>
      <c r="K245" s="59" t="s">
        <v>1137</v>
      </c>
    </row>
    <row r="246" spans="2:42" ht="15" x14ac:dyDescent="0.2">
      <c r="J246" s="59" t="s">
        <v>1125</v>
      </c>
      <c r="K246" s="59" t="s">
        <v>1138</v>
      </c>
    </row>
    <row r="247" spans="2:42" ht="15" x14ac:dyDescent="0.2">
      <c r="J247" s="59" t="s">
        <v>1126</v>
      </c>
      <c r="K247" s="59" t="s">
        <v>1139</v>
      </c>
    </row>
    <row r="248" spans="2:42" ht="15" x14ac:dyDescent="0.2">
      <c r="J248" s="59" t="s">
        <v>1127</v>
      </c>
      <c r="K248" s="59" t="s">
        <v>1140</v>
      </c>
    </row>
    <row r="249" spans="2:42" ht="78" thickBot="1" x14ac:dyDescent="0.3">
      <c r="B249" s="37" t="s">
        <v>1143</v>
      </c>
      <c r="C249" s="37"/>
      <c r="D249" s="37"/>
      <c r="E249" s="37"/>
      <c r="F249" s="37"/>
      <c r="G249" s="37"/>
      <c r="H249" s="37"/>
      <c r="I249" s="37"/>
      <c r="J249" s="54" t="s">
        <v>1145</v>
      </c>
      <c r="K249" s="54" t="s">
        <v>1146</v>
      </c>
      <c r="L249" s="54" t="s">
        <v>193</v>
      </c>
      <c r="M249" s="55" t="s">
        <v>194</v>
      </c>
      <c r="O249" s="37"/>
      <c r="P249" s="37"/>
      <c r="Q249" s="37"/>
      <c r="R249" s="37"/>
      <c r="S249" s="12" t="str">
        <f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249" s="12" t="str">
        <f t="shared" ref="T249:T255" si="118">"VALUES('"&amp;B249&amp;"','"&amp;K249&amp;"','Salaam@123','Y','N',sysdate,'016', 'C', 'Client', '"&amp;L249&amp;"','01','B', '08', 'ABDUL', sysdate, '10.6.100.63', '"&amp;B249&amp;"');"</f>
        <v>VALUES('08801947','Islamabad Diagnostic Centre (Pvt.) Limited','Salaam@123','Y','N',sysdate,'016', 'C', 'Client', 'Muhammad Farhan','01','B', '08', 'ABDUL', sysdate, '10.6.100.63', '08801947');</v>
      </c>
      <c r="U249" s="12" t="str">
        <f t="shared" ref="U249:U326" si="119">"INSERT INTO sy_user_branches (USER_CD, BRANCH_CODE, CLASS_CODE, ENT_BY, ENT_DATE, ENT_BY_IP)"</f>
        <v>INSERT INTO sy_user_branches (USER_CD, BRANCH_CODE, CLASS_CODE, ENT_BY, ENT_DATE, ENT_BY_IP)</v>
      </c>
      <c r="V249" s="12" t="str">
        <f t="shared" ref="V249:V279" si="120">"values('"&amp;B249&amp;"','01', '08', 'ABDUL', sysdate, '10.6.100.63');"</f>
        <v>values('08801947','01', '08', 'ABDUL', sysdate, '10.6.100.63');</v>
      </c>
      <c r="W249" s="12" t="str">
        <f t="shared" ref="W249:W326" si="121">"INSERT INTO sy_perm_list (USER_CD, OPT_CD, ACCESS_TYPE, BRANCH_CODE, CLASS_CODE, ENT_BY, ENT_DATE, ENT_BY_IP)"</f>
        <v>INSERT INTO sy_perm_list (USER_CD, OPT_CD, ACCESS_TYPE, BRANCH_CODE, CLASS_CODE, ENT_BY, ENT_DATE, ENT_BY_IP)</v>
      </c>
      <c r="X249" s="12" t="str">
        <f t="shared" ref="X249:X279" si="122">"VALUES('"&amp;B249&amp;"','ClaimComments.aspx', 'USER', '01', '08', 'ABDUL', SYSDATE, '10.6.100.63');"</f>
        <v>VALUES('08801947','ClaimComments.aspx', 'USER', '01', '08', 'ABDUL', SYSDATE, '10.6.100.63');</v>
      </c>
      <c r="Y249" s="12" t="str">
        <f t="shared" ref="Y249:Y326" si="123">"INSERT INTO sy_perm_list (USER_CD, OPT_CD, ACCESS_TYPE, BRANCH_CODE, CLASS_CODE, ENT_BY, ENT_DATE, ENT_BY_IP)"</f>
        <v>INSERT INTO sy_perm_list (USER_CD, OPT_CD, ACCESS_TYPE, BRANCH_CODE, CLASS_CODE, ENT_BY, ENT_DATE, ENT_BY_IP)</v>
      </c>
      <c r="Z249" s="12" t="str">
        <f t="shared" ref="Z249:Z279" si="124">"VALUES('"&amp;B249&amp;"','ClaimDocs.aspx', 'USER', '01', '08', 'ABDUL', SYSDATE, '10.6.100.63');"</f>
        <v>VALUES('08801947','ClaimDocs.aspx', 'USER', '01', '08', 'ABDUL', SYSDATE, '10.6.100.63');</v>
      </c>
      <c r="AA249" s="12" t="str">
        <f t="shared" ref="AA249:AA326" si="125">"INSERT INTO sy_perm_list (USER_CD, OPT_CD, ACCESS_TYPE, BRANCH_CODE, CLASS_CODE, ENT_BY, ENT_DATE, ENT_BY_IP)"</f>
        <v>INSERT INTO sy_perm_list (USER_CD, OPT_CD, ACCESS_TYPE, BRANCH_CODE, CLASS_CODE, ENT_BY, ENT_DATE, ENT_BY_IP)</v>
      </c>
      <c r="AB249" s="12" t="str">
        <f t="shared" ref="AB249:AB279" si="126">"VALUES('"&amp;B249&amp;"','Client.aspx', 'USER', '01', '08', 'ABDUL', SYSDATE, '10.6.100.63');"</f>
        <v>VALUES('08801947','Client.aspx', 'USER', '01', '08', 'ABDUL', SYSDATE, '10.6.100.63');</v>
      </c>
      <c r="AC249" s="12" t="str">
        <f t="shared" ref="AC249:AC326" si="127">"INSERT INTO sy_perm_list (USER_CD, OPT_CD, ACCESS_TYPE, BRANCH_CODE, CLASS_CODE, ENT_BY, ENT_DATE, ENT_BY_IP)"</f>
        <v>INSERT INTO sy_perm_list (USER_CD, OPT_CD, ACCESS_TYPE, BRANCH_CODE, CLASS_CODE, ENT_BY, ENT_DATE, ENT_BY_IP)</v>
      </c>
      <c r="AD249" s="12" t="str">
        <f t="shared" ref="AD249:AD279" si="128">"VALUES('"&amp;B249&amp;"','ClientReports.aspx', 'USER', '01', '08', 'ABDUL', SYSDATE, '10.6.100.63');"</f>
        <v>VALUES('08801947','ClientReports.aspx', 'USER', '01', '08', 'ABDUL', SYSDATE, '10.6.100.63');</v>
      </c>
      <c r="AE249" s="12" t="str">
        <f t="shared" ref="AE249:AE326" si="129">"INSERT INTO sy_perm_list (USER_CD, OPT_CD, ACCESS_TYPE, BRANCH_CODE, CLASS_CODE, ENT_BY, ENT_DATE, ENT_BY_IP)"</f>
        <v>INSERT INTO sy_perm_list (USER_CD, OPT_CD, ACCESS_TYPE, BRANCH_CODE, CLASS_CODE, ENT_BY, ENT_DATE, ENT_BY_IP)</v>
      </c>
      <c r="AF249" s="12" t="str">
        <f t="shared" ref="AF249:AF279" si="130">"VALUES('"&amp;B249&amp;"','ClientRequests.aspx', 'USER', '01', '08', 'ABDUL', SYSDATE, '10.6.100.63');"</f>
        <v>VALUES('08801947','ClientRequests.aspx', 'USER', '01', '08', 'ABDUL', SYSDATE, '10.6.100.63');</v>
      </c>
      <c r="AG249" s="12" t="str">
        <f t="shared" ref="AG249:AG326" si="131">"INSERT INTO sy_perm_list (USER_CD, OPT_CD, ACCESS_TYPE, BRANCH_CODE, CLASS_CODE, ENT_BY, ENT_DATE, ENT_BY_IP)"</f>
        <v>INSERT INTO sy_perm_list (USER_CD, OPT_CD, ACCESS_TYPE, BRANCH_CODE, CLASS_CODE, ENT_BY, ENT_DATE, ENT_BY_IP)</v>
      </c>
      <c r="AH249" s="12" t="str">
        <f t="shared" ref="AH249:AH279" si="132">"VALUES('"&amp;B249&amp;"','HealthLife.aspx', 'USER', '01', '08', 'ABDUL', SYSDATE, '10.6.100.63');"</f>
        <v>VALUES('08801947','HealthLife.aspx', 'USER', '01', '08', 'ABDUL', SYSDATE, '10.6.100.63');</v>
      </c>
      <c r="AI249" s="12" t="str">
        <f t="shared" ref="AI249:AI326" si="133">"INSERT INTO sy_perm_list (USER_CD, OPT_CD, ACCESS_TYPE, BRANCH_CODE, CLASS_CODE, ENT_BY, ENT_DATE, ENT_BY_IP)"</f>
        <v>INSERT INTO sy_perm_list (USER_CD, OPT_CD, ACCESS_TYPE, BRANCH_CODE, CLASS_CODE, ENT_BY, ENT_DATE, ENT_BY_IP)</v>
      </c>
      <c r="AJ249" s="12" t="str">
        <f t="shared" ref="AJ249:AJ279" si="134">"VALUES('"&amp;B249&amp;"','IpdClaim.aspx', 'USER', '01', '08', 'ABDUL', SYSDATE, '10.6.100.63');"</f>
        <v>VALUES('08801947','IpdClaim.aspx', 'USER', '01', '08', 'ABDUL', SYSDATE, '10.6.100.63');</v>
      </c>
      <c r="AK249" s="12" t="str">
        <f t="shared" ref="AK249:AK326" si="135">"INSERT INTO sy_perm_list (USER_CD, OPT_CD, ACCESS_TYPE, BRANCH_CODE, CLASS_CODE, ENT_BY, ENT_DATE, ENT_BY_IP)"</f>
        <v>INSERT INTO sy_perm_list (USER_CD, OPT_CD, ACCESS_TYPE, BRANCH_CODE, CLASS_CODE, ENT_BY, ENT_DATE, ENT_BY_IP)</v>
      </c>
      <c r="AL249" s="12" t="str">
        <f t="shared" ref="AL249:AL279" si="136">"VALUES('"&amp;B249&amp;"','OpdClaim.aspx', 'USER', '01', '08', 'ABDUL', SYSDATE, '10.6.100.63');"</f>
        <v>VALUES('08801947','OpdClaim.aspx', 'USER', '01', '08', 'ABDUL', SYSDATE, '10.6.100.63');</v>
      </c>
      <c r="AM249" s="12" t="str">
        <f t="shared" ref="AM249:AM326" si="137">"INSERT INTO sy_perm_list (USER_CD, OPT_CD, ACCESS_TYPE, BRANCH_CODE, CLASS_CODE, ENT_BY, ENT_DATE, ENT_BY_IP)"</f>
        <v>INSERT INTO sy_perm_list (USER_CD, OPT_CD, ACCESS_TYPE, BRANCH_CODE, CLASS_CODE, ENT_BY, ENT_DATE, ENT_BY_IP)</v>
      </c>
      <c r="AN249" s="12" t="str">
        <f t="shared" ref="AN249:AN279" si="138">"VALUES('"&amp;B249&amp;"','RequestDetails.aspx', 'USER', '01', '08', 'ABDUL', SYSDATE, '10.6.100.63');"</f>
        <v>VALUES('08801947','RequestDetails.aspx', 'USER', '01', '08', 'ABDUL', SYSDATE, '10.6.100.63');</v>
      </c>
      <c r="AO249" s="12" t="str">
        <f t="shared" ref="AO249:AO326" si="139">"INSERT INTO sy_perm_list (USER_CD, OPT_CD, ACCESS_TYPE, BRANCH_CODE, CLASS_CODE, ENT_BY, ENT_DATE, ENT_BY_IP)"</f>
        <v>INSERT INTO sy_perm_list (USER_CD, OPT_CD, ACCESS_TYPE, BRANCH_CODE, CLASS_CODE, ENT_BY, ENT_DATE, ENT_BY_IP)</v>
      </c>
      <c r="AP249" s="12" t="str">
        <f t="shared" ref="AP249:AP279" si="140">"VALUES('"&amp;B249&amp;"','TodaysRequest.aspx', 'USER', '01', '08', 'ABDUL', SYSDATE, '10.6.100.63');"</f>
        <v>VALUES('08801947','TodaysRequest.aspx', 'USER', '01', '08', 'ABDUL', SYSDATE, '10.6.100.63');</v>
      </c>
    </row>
    <row r="250" spans="2:42" ht="78" thickBot="1" x14ac:dyDescent="0.3">
      <c r="B250" s="37" t="s">
        <v>1144</v>
      </c>
      <c r="C250" s="37"/>
      <c r="D250" s="37"/>
      <c r="E250" s="37"/>
      <c r="F250" s="37"/>
      <c r="G250" s="37"/>
      <c r="H250" s="37"/>
      <c r="I250" s="37"/>
      <c r="J250" s="54" t="s">
        <v>1148</v>
      </c>
      <c r="K250" s="54" t="s">
        <v>1147</v>
      </c>
      <c r="L250" s="54" t="s">
        <v>193</v>
      </c>
      <c r="M250" s="55" t="s">
        <v>194</v>
      </c>
      <c r="O250" s="37"/>
      <c r="P250" s="37"/>
      <c r="Q250" s="37"/>
      <c r="R250" s="37"/>
      <c r="S250" s="12" t="str">
        <f t="shared" ref="S250:S326" si="141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250" s="12" t="str">
        <f t="shared" si="118"/>
        <v>VALUES('08801960','TRANSKARACHI','Salaam@123','Y','N',sysdate,'016', 'C', 'Client', 'Muhammad Farhan','01','B', '08', 'ABDUL', sysdate, '10.6.100.63', '08801960');</v>
      </c>
      <c r="U250" s="12" t="str">
        <f t="shared" si="119"/>
        <v>INSERT INTO sy_user_branches (USER_CD, BRANCH_CODE, CLASS_CODE, ENT_BY, ENT_DATE, ENT_BY_IP)</v>
      </c>
      <c r="V250" s="12" t="str">
        <f t="shared" si="120"/>
        <v>values('08801960','01', '08', 'ABDUL', sysdate, '10.6.100.63');</v>
      </c>
      <c r="W250" s="12" t="str">
        <f t="shared" si="121"/>
        <v>INSERT INTO sy_perm_list (USER_CD, OPT_CD, ACCESS_TYPE, BRANCH_CODE, CLASS_CODE, ENT_BY, ENT_DATE, ENT_BY_IP)</v>
      </c>
      <c r="X250" s="12" t="str">
        <f t="shared" si="122"/>
        <v>VALUES('08801960','ClaimComments.aspx', 'USER', '01', '08', 'ABDUL', SYSDATE, '10.6.100.63');</v>
      </c>
      <c r="Y250" s="12" t="str">
        <f t="shared" si="123"/>
        <v>INSERT INTO sy_perm_list (USER_CD, OPT_CD, ACCESS_TYPE, BRANCH_CODE, CLASS_CODE, ENT_BY, ENT_DATE, ENT_BY_IP)</v>
      </c>
      <c r="Z250" s="12" t="str">
        <f t="shared" si="124"/>
        <v>VALUES('08801960','ClaimDocs.aspx', 'USER', '01', '08', 'ABDUL', SYSDATE, '10.6.100.63');</v>
      </c>
      <c r="AA250" s="12" t="str">
        <f t="shared" si="125"/>
        <v>INSERT INTO sy_perm_list (USER_CD, OPT_CD, ACCESS_TYPE, BRANCH_CODE, CLASS_CODE, ENT_BY, ENT_DATE, ENT_BY_IP)</v>
      </c>
      <c r="AB250" s="12" t="str">
        <f t="shared" si="126"/>
        <v>VALUES('08801960','Client.aspx', 'USER', '01', '08', 'ABDUL', SYSDATE, '10.6.100.63');</v>
      </c>
      <c r="AC250" s="12" t="str">
        <f t="shared" si="127"/>
        <v>INSERT INTO sy_perm_list (USER_CD, OPT_CD, ACCESS_TYPE, BRANCH_CODE, CLASS_CODE, ENT_BY, ENT_DATE, ENT_BY_IP)</v>
      </c>
      <c r="AD250" s="12" t="str">
        <f t="shared" si="128"/>
        <v>VALUES('08801960','ClientReports.aspx', 'USER', '01', '08', 'ABDUL', SYSDATE, '10.6.100.63');</v>
      </c>
      <c r="AE250" s="12" t="str">
        <f t="shared" si="129"/>
        <v>INSERT INTO sy_perm_list (USER_CD, OPT_CD, ACCESS_TYPE, BRANCH_CODE, CLASS_CODE, ENT_BY, ENT_DATE, ENT_BY_IP)</v>
      </c>
      <c r="AF250" s="12" t="str">
        <f t="shared" si="130"/>
        <v>VALUES('08801960','ClientRequests.aspx', 'USER', '01', '08', 'ABDUL', SYSDATE, '10.6.100.63');</v>
      </c>
      <c r="AG250" s="12" t="str">
        <f t="shared" si="131"/>
        <v>INSERT INTO sy_perm_list (USER_CD, OPT_CD, ACCESS_TYPE, BRANCH_CODE, CLASS_CODE, ENT_BY, ENT_DATE, ENT_BY_IP)</v>
      </c>
      <c r="AH250" s="12" t="str">
        <f t="shared" si="132"/>
        <v>VALUES('08801960','HealthLife.aspx', 'USER', '01', '08', 'ABDUL', SYSDATE, '10.6.100.63');</v>
      </c>
      <c r="AI250" s="12" t="str">
        <f t="shared" si="133"/>
        <v>INSERT INTO sy_perm_list (USER_CD, OPT_CD, ACCESS_TYPE, BRANCH_CODE, CLASS_CODE, ENT_BY, ENT_DATE, ENT_BY_IP)</v>
      </c>
      <c r="AJ250" s="12" t="str">
        <f t="shared" si="134"/>
        <v>VALUES('08801960','IpdClaim.aspx', 'USER', '01', '08', 'ABDUL', SYSDATE, '10.6.100.63');</v>
      </c>
      <c r="AK250" s="12" t="str">
        <f t="shared" si="135"/>
        <v>INSERT INTO sy_perm_list (USER_CD, OPT_CD, ACCESS_TYPE, BRANCH_CODE, CLASS_CODE, ENT_BY, ENT_DATE, ENT_BY_IP)</v>
      </c>
      <c r="AL250" s="12" t="str">
        <f t="shared" si="136"/>
        <v>VALUES('08801960','OpdClaim.aspx', 'USER', '01', '08', 'ABDUL', SYSDATE, '10.6.100.63');</v>
      </c>
      <c r="AM250" s="12" t="str">
        <f t="shared" si="137"/>
        <v>INSERT INTO sy_perm_list (USER_CD, OPT_CD, ACCESS_TYPE, BRANCH_CODE, CLASS_CODE, ENT_BY, ENT_DATE, ENT_BY_IP)</v>
      </c>
      <c r="AN250" s="12" t="str">
        <f t="shared" si="138"/>
        <v>VALUES('08801960','RequestDetails.aspx', 'USER', '01', '08', 'ABDUL', SYSDATE, '10.6.100.63');</v>
      </c>
      <c r="AO250" s="12" t="str">
        <f t="shared" si="139"/>
        <v>INSERT INTO sy_perm_list (USER_CD, OPT_CD, ACCESS_TYPE, BRANCH_CODE, CLASS_CODE, ENT_BY, ENT_DATE, ENT_BY_IP)</v>
      </c>
      <c r="AP250" s="12" t="str">
        <f t="shared" si="140"/>
        <v>VALUES('08801960','TodaysRequest.aspx', 'USER', '01', '08', 'ABDUL', SYSDATE, '10.6.100.63');</v>
      </c>
    </row>
    <row r="251" spans="2:42" ht="78" thickBot="1" x14ac:dyDescent="0.3">
      <c r="B251" s="37" t="s">
        <v>1152</v>
      </c>
      <c r="J251" s="40" t="s">
        <v>1153</v>
      </c>
      <c r="K251" s="40" t="s">
        <v>1154</v>
      </c>
      <c r="L251" s="40" t="s">
        <v>1155</v>
      </c>
      <c r="M251" s="10" t="s">
        <v>1156</v>
      </c>
      <c r="O251" s="61">
        <v>44440</v>
      </c>
      <c r="P251" s="61">
        <v>44804</v>
      </c>
      <c r="S25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1" s="12" t="str">
        <f t="shared" si="118"/>
        <v>VALUES('08802442','Oceanic Star Line Pvt. Ltd.','Salaam@123','Y','N',sysdate,'016', 'C', 'Client', 'Abdullah Uzair','01','B', '08', 'ABDUL', sysdate, '10.6.100.63', '08802442');</v>
      </c>
      <c r="U251" s="12" t="str">
        <f t="shared" si="119"/>
        <v>INSERT INTO sy_user_branches (USER_CD, BRANCH_CODE, CLASS_CODE, ENT_BY, ENT_DATE, ENT_BY_IP)</v>
      </c>
      <c r="V251" s="12" t="str">
        <f t="shared" si="120"/>
        <v>values('08802442','01', '08', 'ABDUL', sysdate, '10.6.100.63');</v>
      </c>
      <c r="W251" s="12" t="str">
        <f t="shared" si="121"/>
        <v>INSERT INTO sy_perm_list (USER_CD, OPT_CD, ACCESS_TYPE, BRANCH_CODE, CLASS_CODE, ENT_BY, ENT_DATE, ENT_BY_IP)</v>
      </c>
      <c r="X251" s="12" t="str">
        <f t="shared" si="122"/>
        <v>VALUES('08802442','ClaimComments.aspx', 'USER', '01', '08', 'ABDUL', SYSDATE, '10.6.100.63');</v>
      </c>
      <c r="Y251" s="12" t="str">
        <f t="shared" si="123"/>
        <v>INSERT INTO sy_perm_list (USER_CD, OPT_CD, ACCESS_TYPE, BRANCH_CODE, CLASS_CODE, ENT_BY, ENT_DATE, ENT_BY_IP)</v>
      </c>
      <c r="Z251" s="12" t="str">
        <f t="shared" si="124"/>
        <v>VALUES('08802442','ClaimDocs.aspx', 'USER', '01', '08', 'ABDUL', SYSDATE, '10.6.100.63');</v>
      </c>
      <c r="AA251" s="12" t="str">
        <f t="shared" si="125"/>
        <v>INSERT INTO sy_perm_list (USER_CD, OPT_CD, ACCESS_TYPE, BRANCH_CODE, CLASS_CODE, ENT_BY, ENT_DATE, ENT_BY_IP)</v>
      </c>
      <c r="AB251" s="12" t="str">
        <f t="shared" si="126"/>
        <v>VALUES('08802442','Client.aspx', 'USER', '01', '08', 'ABDUL', SYSDATE, '10.6.100.63');</v>
      </c>
      <c r="AC251" s="12" t="str">
        <f t="shared" si="127"/>
        <v>INSERT INTO sy_perm_list (USER_CD, OPT_CD, ACCESS_TYPE, BRANCH_CODE, CLASS_CODE, ENT_BY, ENT_DATE, ENT_BY_IP)</v>
      </c>
      <c r="AD251" s="12" t="str">
        <f t="shared" si="128"/>
        <v>VALUES('08802442','ClientReports.aspx', 'USER', '01', '08', 'ABDUL', SYSDATE, '10.6.100.63');</v>
      </c>
      <c r="AE251" s="12" t="str">
        <f t="shared" si="129"/>
        <v>INSERT INTO sy_perm_list (USER_CD, OPT_CD, ACCESS_TYPE, BRANCH_CODE, CLASS_CODE, ENT_BY, ENT_DATE, ENT_BY_IP)</v>
      </c>
      <c r="AF251" s="12" t="str">
        <f t="shared" si="130"/>
        <v>VALUES('08802442','ClientRequests.aspx', 'USER', '01', '08', 'ABDUL', SYSDATE, '10.6.100.63');</v>
      </c>
      <c r="AG251" s="12" t="str">
        <f t="shared" si="131"/>
        <v>INSERT INTO sy_perm_list (USER_CD, OPT_CD, ACCESS_TYPE, BRANCH_CODE, CLASS_CODE, ENT_BY, ENT_DATE, ENT_BY_IP)</v>
      </c>
      <c r="AH251" s="12" t="str">
        <f t="shared" si="132"/>
        <v>VALUES('08802442','HealthLife.aspx', 'USER', '01', '08', 'ABDUL', SYSDATE, '10.6.100.63');</v>
      </c>
      <c r="AI251" s="12" t="str">
        <f t="shared" si="133"/>
        <v>INSERT INTO sy_perm_list (USER_CD, OPT_CD, ACCESS_TYPE, BRANCH_CODE, CLASS_CODE, ENT_BY, ENT_DATE, ENT_BY_IP)</v>
      </c>
      <c r="AJ251" s="12" t="str">
        <f t="shared" si="134"/>
        <v>VALUES('08802442','IpdClaim.aspx', 'USER', '01', '08', 'ABDUL', SYSDATE, '10.6.100.63');</v>
      </c>
      <c r="AK251" s="12" t="str">
        <f t="shared" si="135"/>
        <v>INSERT INTO sy_perm_list (USER_CD, OPT_CD, ACCESS_TYPE, BRANCH_CODE, CLASS_CODE, ENT_BY, ENT_DATE, ENT_BY_IP)</v>
      </c>
      <c r="AL251" s="12" t="str">
        <f t="shared" si="136"/>
        <v>VALUES('08802442','OpdClaim.aspx', 'USER', '01', '08', 'ABDUL', SYSDATE, '10.6.100.63');</v>
      </c>
      <c r="AM251" s="12" t="str">
        <f t="shared" si="137"/>
        <v>INSERT INTO sy_perm_list (USER_CD, OPT_CD, ACCESS_TYPE, BRANCH_CODE, CLASS_CODE, ENT_BY, ENT_DATE, ENT_BY_IP)</v>
      </c>
      <c r="AN251" s="12" t="str">
        <f t="shared" si="138"/>
        <v>VALUES('08802442','RequestDetails.aspx', 'USER', '01', '08', 'ABDUL', SYSDATE, '10.6.100.63');</v>
      </c>
      <c r="AO251" s="12" t="str">
        <f t="shared" si="139"/>
        <v>INSERT INTO sy_perm_list (USER_CD, OPT_CD, ACCESS_TYPE, BRANCH_CODE, CLASS_CODE, ENT_BY, ENT_DATE, ENT_BY_IP)</v>
      </c>
      <c r="AP251" s="12" t="str">
        <f t="shared" si="140"/>
        <v>VALUES('08802442','TodaysRequest.aspx', 'USER', '01', '08', 'ABDUL', SYSDATE, '10.6.100.63');</v>
      </c>
    </row>
    <row r="252" spans="2:42" ht="78" thickBot="1" x14ac:dyDescent="0.3">
      <c r="B252" s="37" t="s">
        <v>1157</v>
      </c>
      <c r="J252" s="46" t="s">
        <v>1158</v>
      </c>
      <c r="K252" s="46" t="s">
        <v>1159</v>
      </c>
      <c r="L252" s="46" t="s">
        <v>1160</v>
      </c>
      <c r="M252" s="42" t="s">
        <v>1161</v>
      </c>
      <c r="O252" s="62">
        <v>44378</v>
      </c>
      <c r="P252" s="62">
        <v>44742</v>
      </c>
      <c r="S25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2" s="12" t="str">
        <f t="shared" si="118"/>
        <v>VALUES('08802209','Irfanullah Afridi Enterprises (Pvt) Limited','Salaam@123','Y','N',sysdate,'016', 'C', 'Client', 'Irfanullah Khan','01','B', '08', 'ABDUL', sysdate, '10.6.100.63', '08802209');</v>
      </c>
      <c r="U252" s="12" t="str">
        <f t="shared" si="119"/>
        <v>INSERT INTO sy_user_branches (USER_CD, BRANCH_CODE, CLASS_CODE, ENT_BY, ENT_DATE, ENT_BY_IP)</v>
      </c>
      <c r="V252" s="12" t="str">
        <f t="shared" si="120"/>
        <v>values('08802209','01', '08', 'ABDUL', sysdate, '10.6.100.63');</v>
      </c>
      <c r="W252" s="12" t="str">
        <f t="shared" si="121"/>
        <v>INSERT INTO sy_perm_list (USER_CD, OPT_CD, ACCESS_TYPE, BRANCH_CODE, CLASS_CODE, ENT_BY, ENT_DATE, ENT_BY_IP)</v>
      </c>
      <c r="X252" s="12" t="str">
        <f t="shared" si="122"/>
        <v>VALUES('08802209','ClaimComments.aspx', 'USER', '01', '08', 'ABDUL', SYSDATE, '10.6.100.63');</v>
      </c>
      <c r="Y252" s="12" t="str">
        <f t="shared" si="123"/>
        <v>INSERT INTO sy_perm_list (USER_CD, OPT_CD, ACCESS_TYPE, BRANCH_CODE, CLASS_CODE, ENT_BY, ENT_DATE, ENT_BY_IP)</v>
      </c>
      <c r="Z252" s="12" t="str">
        <f t="shared" si="124"/>
        <v>VALUES('08802209','ClaimDocs.aspx', 'USER', '01', '08', 'ABDUL', SYSDATE, '10.6.100.63');</v>
      </c>
      <c r="AA252" s="12" t="str">
        <f t="shared" si="125"/>
        <v>INSERT INTO sy_perm_list (USER_CD, OPT_CD, ACCESS_TYPE, BRANCH_CODE, CLASS_CODE, ENT_BY, ENT_DATE, ENT_BY_IP)</v>
      </c>
      <c r="AB252" s="12" t="str">
        <f t="shared" si="126"/>
        <v>VALUES('08802209','Client.aspx', 'USER', '01', '08', 'ABDUL', SYSDATE, '10.6.100.63');</v>
      </c>
      <c r="AC252" s="12" t="str">
        <f t="shared" si="127"/>
        <v>INSERT INTO sy_perm_list (USER_CD, OPT_CD, ACCESS_TYPE, BRANCH_CODE, CLASS_CODE, ENT_BY, ENT_DATE, ENT_BY_IP)</v>
      </c>
      <c r="AD252" s="12" t="str">
        <f t="shared" si="128"/>
        <v>VALUES('08802209','ClientReports.aspx', 'USER', '01', '08', 'ABDUL', SYSDATE, '10.6.100.63');</v>
      </c>
      <c r="AE252" s="12" t="str">
        <f t="shared" si="129"/>
        <v>INSERT INTO sy_perm_list (USER_CD, OPT_CD, ACCESS_TYPE, BRANCH_CODE, CLASS_CODE, ENT_BY, ENT_DATE, ENT_BY_IP)</v>
      </c>
      <c r="AF252" s="12" t="str">
        <f t="shared" si="130"/>
        <v>VALUES('08802209','ClientRequests.aspx', 'USER', '01', '08', 'ABDUL', SYSDATE, '10.6.100.63');</v>
      </c>
      <c r="AG252" s="12" t="str">
        <f t="shared" si="131"/>
        <v>INSERT INTO sy_perm_list (USER_CD, OPT_CD, ACCESS_TYPE, BRANCH_CODE, CLASS_CODE, ENT_BY, ENT_DATE, ENT_BY_IP)</v>
      </c>
      <c r="AH252" s="12" t="str">
        <f t="shared" si="132"/>
        <v>VALUES('08802209','HealthLife.aspx', 'USER', '01', '08', 'ABDUL', SYSDATE, '10.6.100.63');</v>
      </c>
      <c r="AI252" s="12" t="str">
        <f t="shared" si="133"/>
        <v>INSERT INTO sy_perm_list (USER_CD, OPT_CD, ACCESS_TYPE, BRANCH_CODE, CLASS_CODE, ENT_BY, ENT_DATE, ENT_BY_IP)</v>
      </c>
      <c r="AJ252" s="12" t="str">
        <f t="shared" si="134"/>
        <v>VALUES('08802209','IpdClaim.aspx', 'USER', '01', '08', 'ABDUL', SYSDATE, '10.6.100.63');</v>
      </c>
      <c r="AK252" s="12" t="str">
        <f t="shared" si="135"/>
        <v>INSERT INTO sy_perm_list (USER_CD, OPT_CD, ACCESS_TYPE, BRANCH_CODE, CLASS_CODE, ENT_BY, ENT_DATE, ENT_BY_IP)</v>
      </c>
      <c r="AL252" s="12" t="str">
        <f t="shared" si="136"/>
        <v>VALUES('08802209','OpdClaim.aspx', 'USER', '01', '08', 'ABDUL', SYSDATE, '10.6.100.63');</v>
      </c>
      <c r="AM252" s="12" t="str">
        <f t="shared" si="137"/>
        <v>INSERT INTO sy_perm_list (USER_CD, OPT_CD, ACCESS_TYPE, BRANCH_CODE, CLASS_CODE, ENT_BY, ENT_DATE, ENT_BY_IP)</v>
      </c>
      <c r="AN252" s="12" t="str">
        <f t="shared" si="138"/>
        <v>VALUES('08802209','RequestDetails.aspx', 'USER', '01', '08', 'ABDUL', SYSDATE, '10.6.100.63');</v>
      </c>
      <c r="AO252" s="12" t="str">
        <f t="shared" si="139"/>
        <v>INSERT INTO sy_perm_list (USER_CD, OPT_CD, ACCESS_TYPE, BRANCH_CODE, CLASS_CODE, ENT_BY, ENT_DATE, ENT_BY_IP)</v>
      </c>
      <c r="AP252" s="12" t="str">
        <f t="shared" si="140"/>
        <v>VALUES('08802209','TodaysRequest.aspx', 'USER', '01', '08', 'ABDUL', SYSDATE, '10.6.100.63');</v>
      </c>
    </row>
    <row r="253" spans="2:42" ht="78" thickBot="1" x14ac:dyDescent="0.3">
      <c r="B253" s="37" t="s">
        <v>1162</v>
      </c>
      <c r="J253" s="63" t="s">
        <v>1163</v>
      </c>
      <c r="K253" s="63" t="s">
        <v>1164</v>
      </c>
      <c r="L253" s="63" t="s">
        <v>1165</v>
      </c>
      <c r="M253" s="55" t="s">
        <v>1166</v>
      </c>
      <c r="O253" s="64">
        <v>44428</v>
      </c>
      <c r="P253" s="64">
        <v>44792</v>
      </c>
      <c r="R253" t="s">
        <v>1167</v>
      </c>
      <c r="S25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3" s="12" t="str">
        <f t="shared" si="118"/>
        <v>VALUES('08802478','Tree House Exatex (Pvt) Ltd (AION Group)','Salaam@123','Y','N',sysdate,'016', 'C', 'Client', 'Yasir Shafique','01','B', '08', 'ABDUL', sysdate, '10.6.100.63', '08802478');</v>
      </c>
      <c r="U253" s="12" t="str">
        <f t="shared" si="119"/>
        <v>INSERT INTO sy_user_branches (USER_CD, BRANCH_CODE, CLASS_CODE, ENT_BY, ENT_DATE, ENT_BY_IP)</v>
      </c>
      <c r="V253" s="12" t="str">
        <f t="shared" si="120"/>
        <v>values('08802478','01', '08', 'ABDUL', sysdate, '10.6.100.63');</v>
      </c>
      <c r="W253" s="12" t="str">
        <f t="shared" si="121"/>
        <v>INSERT INTO sy_perm_list (USER_CD, OPT_CD, ACCESS_TYPE, BRANCH_CODE, CLASS_CODE, ENT_BY, ENT_DATE, ENT_BY_IP)</v>
      </c>
      <c r="X253" s="12" t="str">
        <f t="shared" si="122"/>
        <v>VALUES('08802478','ClaimComments.aspx', 'USER', '01', '08', 'ABDUL', SYSDATE, '10.6.100.63');</v>
      </c>
      <c r="Y253" s="12" t="str">
        <f t="shared" si="123"/>
        <v>INSERT INTO sy_perm_list (USER_CD, OPT_CD, ACCESS_TYPE, BRANCH_CODE, CLASS_CODE, ENT_BY, ENT_DATE, ENT_BY_IP)</v>
      </c>
      <c r="Z253" s="12" t="str">
        <f t="shared" si="124"/>
        <v>VALUES('08802478','ClaimDocs.aspx', 'USER', '01', '08', 'ABDUL', SYSDATE, '10.6.100.63');</v>
      </c>
      <c r="AA253" s="12" t="str">
        <f t="shared" si="125"/>
        <v>INSERT INTO sy_perm_list (USER_CD, OPT_CD, ACCESS_TYPE, BRANCH_CODE, CLASS_CODE, ENT_BY, ENT_DATE, ENT_BY_IP)</v>
      </c>
      <c r="AB253" s="12" t="str">
        <f t="shared" si="126"/>
        <v>VALUES('08802478','Client.aspx', 'USER', '01', '08', 'ABDUL', SYSDATE, '10.6.100.63');</v>
      </c>
      <c r="AC253" s="12" t="str">
        <f t="shared" si="127"/>
        <v>INSERT INTO sy_perm_list (USER_CD, OPT_CD, ACCESS_TYPE, BRANCH_CODE, CLASS_CODE, ENT_BY, ENT_DATE, ENT_BY_IP)</v>
      </c>
      <c r="AD253" s="12" t="str">
        <f t="shared" si="128"/>
        <v>VALUES('08802478','ClientReports.aspx', 'USER', '01', '08', 'ABDUL', SYSDATE, '10.6.100.63');</v>
      </c>
      <c r="AE253" s="12" t="str">
        <f t="shared" si="129"/>
        <v>INSERT INTO sy_perm_list (USER_CD, OPT_CD, ACCESS_TYPE, BRANCH_CODE, CLASS_CODE, ENT_BY, ENT_DATE, ENT_BY_IP)</v>
      </c>
      <c r="AF253" s="12" t="str">
        <f t="shared" si="130"/>
        <v>VALUES('08802478','ClientRequests.aspx', 'USER', '01', '08', 'ABDUL', SYSDATE, '10.6.100.63');</v>
      </c>
      <c r="AG253" s="12" t="str">
        <f t="shared" si="131"/>
        <v>INSERT INTO sy_perm_list (USER_CD, OPT_CD, ACCESS_TYPE, BRANCH_CODE, CLASS_CODE, ENT_BY, ENT_DATE, ENT_BY_IP)</v>
      </c>
      <c r="AH253" s="12" t="str">
        <f t="shared" si="132"/>
        <v>VALUES('08802478','HealthLife.aspx', 'USER', '01', '08', 'ABDUL', SYSDATE, '10.6.100.63');</v>
      </c>
      <c r="AI253" s="12" t="str">
        <f t="shared" si="133"/>
        <v>INSERT INTO sy_perm_list (USER_CD, OPT_CD, ACCESS_TYPE, BRANCH_CODE, CLASS_CODE, ENT_BY, ENT_DATE, ENT_BY_IP)</v>
      </c>
      <c r="AJ253" s="12" t="str">
        <f t="shared" si="134"/>
        <v>VALUES('08802478','IpdClaim.aspx', 'USER', '01', '08', 'ABDUL', SYSDATE, '10.6.100.63');</v>
      </c>
      <c r="AK253" s="12" t="str">
        <f t="shared" si="135"/>
        <v>INSERT INTO sy_perm_list (USER_CD, OPT_CD, ACCESS_TYPE, BRANCH_CODE, CLASS_CODE, ENT_BY, ENT_DATE, ENT_BY_IP)</v>
      </c>
      <c r="AL253" s="12" t="str">
        <f t="shared" si="136"/>
        <v>VALUES('08802478','OpdClaim.aspx', 'USER', '01', '08', 'ABDUL', SYSDATE, '10.6.100.63');</v>
      </c>
      <c r="AM253" s="12" t="str">
        <f t="shared" si="137"/>
        <v>INSERT INTO sy_perm_list (USER_CD, OPT_CD, ACCESS_TYPE, BRANCH_CODE, CLASS_CODE, ENT_BY, ENT_DATE, ENT_BY_IP)</v>
      </c>
      <c r="AN253" s="12" t="str">
        <f t="shared" si="138"/>
        <v>VALUES('08802478','RequestDetails.aspx', 'USER', '01', '08', 'ABDUL', SYSDATE, '10.6.100.63');</v>
      </c>
      <c r="AO253" s="12" t="str">
        <f t="shared" si="139"/>
        <v>INSERT INTO sy_perm_list (USER_CD, OPT_CD, ACCESS_TYPE, BRANCH_CODE, CLASS_CODE, ENT_BY, ENT_DATE, ENT_BY_IP)</v>
      </c>
      <c r="AP253" s="12" t="str">
        <f t="shared" si="140"/>
        <v>VALUES('08802478','TodaysRequest.aspx', 'USER', '01', '08', 'ABDUL', SYSDATE, '10.6.100.63');</v>
      </c>
    </row>
    <row r="254" spans="2:42" ht="78" thickBot="1" x14ac:dyDescent="0.3">
      <c r="B254" s="37" t="s">
        <v>1168</v>
      </c>
      <c r="J254" s="63" t="s">
        <v>1169</v>
      </c>
      <c r="K254" s="63" t="s">
        <v>1170</v>
      </c>
      <c r="L254" s="63" t="s">
        <v>1171</v>
      </c>
      <c r="M254" s="55" t="s">
        <v>1172</v>
      </c>
      <c r="O254" s="64">
        <v>44317</v>
      </c>
      <c r="P254" s="64">
        <v>44681</v>
      </c>
      <c r="S25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4" s="12" t="str">
        <f t="shared" si="118"/>
        <v>VALUES('08802081','Taskeen Health Initiative','Salaam@123','Y','N',sysdate,'016', 'C', 'Client', 'Hamza Zia','01','B', '08', 'ABDUL', sysdate, '10.6.100.63', '08802081');</v>
      </c>
      <c r="U254" s="12" t="str">
        <f t="shared" si="119"/>
        <v>INSERT INTO sy_user_branches (USER_CD, BRANCH_CODE, CLASS_CODE, ENT_BY, ENT_DATE, ENT_BY_IP)</v>
      </c>
      <c r="V254" s="12" t="str">
        <f t="shared" si="120"/>
        <v>values('08802081','01', '08', 'ABDUL', sysdate, '10.6.100.63');</v>
      </c>
      <c r="W254" s="12" t="str">
        <f t="shared" si="121"/>
        <v>INSERT INTO sy_perm_list (USER_CD, OPT_CD, ACCESS_TYPE, BRANCH_CODE, CLASS_CODE, ENT_BY, ENT_DATE, ENT_BY_IP)</v>
      </c>
      <c r="X254" s="12" t="str">
        <f t="shared" si="122"/>
        <v>VALUES('08802081','ClaimComments.aspx', 'USER', '01', '08', 'ABDUL', SYSDATE, '10.6.100.63');</v>
      </c>
      <c r="Y254" s="12" t="str">
        <f t="shared" si="123"/>
        <v>INSERT INTO sy_perm_list (USER_CD, OPT_CD, ACCESS_TYPE, BRANCH_CODE, CLASS_CODE, ENT_BY, ENT_DATE, ENT_BY_IP)</v>
      </c>
      <c r="Z254" s="12" t="str">
        <f t="shared" si="124"/>
        <v>VALUES('08802081','ClaimDocs.aspx', 'USER', '01', '08', 'ABDUL', SYSDATE, '10.6.100.63');</v>
      </c>
      <c r="AA254" s="12" t="str">
        <f t="shared" si="125"/>
        <v>INSERT INTO sy_perm_list (USER_CD, OPT_CD, ACCESS_TYPE, BRANCH_CODE, CLASS_CODE, ENT_BY, ENT_DATE, ENT_BY_IP)</v>
      </c>
      <c r="AB254" s="12" t="str">
        <f t="shared" si="126"/>
        <v>VALUES('08802081','Client.aspx', 'USER', '01', '08', 'ABDUL', SYSDATE, '10.6.100.63');</v>
      </c>
      <c r="AC254" s="12" t="str">
        <f t="shared" si="127"/>
        <v>INSERT INTO sy_perm_list (USER_CD, OPT_CD, ACCESS_TYPE, BRANCH_CODE, CLASS_CODE, ENT_BY, ENT_DATE, ENT_BY_IP)</v>
      </c>
      <c r="AD254" s="12" t="str">
        <f t="shared" si="128"/>
        <v>VALUES('08802081','ClientReports.aspx', 'USER', '01', '08', 'ABDUL', SYSDATE, '10.6.100.63');</v>
      </c>
      <c r="AE254" s="12" t="str">
        <f t="shared" si="129"/>
        <v>INSERT INTO sy_perm_list (USER_CD, OPT_CD, ACCESS_TYPE, BRANCH_CODE, CLASS_CODE, ENT_BY, ENT_DATE, ENT_BY_IP)</v>
      </c>
      <c r="AF254" s="12" t="str">
        <f t="shared" si="130"/>
        <v>VALUES('08802081','ClientRequests.aspx', 'USER', '01', '08', 'ABDUL', SYSDATE, '10.6.100.63');</v>
      </c>
      <c r="AG254" s="12" t="str">
        <f t="shared" si="131"/>
        <v>INSERT INTO sy_perm_list (USER_CD, OPT_CD, ACCESS_TYPE, BRANCH_CODE, CLASS_CODE, ENT_BY, ENT_DATE, ENT_BY_IP)</v>
      </c>
      <c r="AH254" s="12" t="str">
        <f t="shared" si="132"/>
        <v>VALUES('08802081','HealthLife.aspx', 'USER', '01', '08', 'ABDUL', SYSDATE, '10.6.100.63');</v>
      </c>
      <c r="AI254" s="12" t="str">
        <f t="shared" si="133"/>
        <v>INSERT INTO sy_perm_list (USER_CD, OPT_CD, ACCESS_TYPE, BRANCH_CODE, CLASS_CODE, ENT_BY, ENT_DATE, ENT_BY_IP)</v>
      </c>
      <c r="AJ254" s="12" t="str">
        <f t="shared" si="134"/>
        <v>VALUES('08802081','IpdClaim.aspx', 'USER', '01', '08', 'ABDUL', SYSDATE, '10.6.100.63');</v>
      </c>
      <c r="AK254" s="12" t="str">
        <f t="shared" si="135"/>
        <v>INSERT INTO sy_perm_list (USER_CD, OPT_CD, ACCESS_TYPE, BRANCH_CODE, CLASS_CODE, ENT_BY, ENT_DATE, ENT_BY_IP)</v>
      </c>
      <c r="AL254" s="12" t="str">
        <f t="shared" si="136"/>
        <v>VALUES('08802081','OpdClaim.aspx', 'USER', '01', '08', 'ABDUL', SYSDATE, '10.6.100.63');</v>
      </c>
      <c r="AM254" s="12" t="str">
        <f t="shared" si="137"/>
        <v>INSERT INTO sy_perm_list (USER_CD, OPT_CD, ACCESS_TYPE, BRANCH_CODE, CLASS_CODE, ENT_BY, ENT_DATE, ENT_BY_IP)</v>
      </c>
      <c r="AN254" s="12" t="str">
        <f t="shared" si="138"/>
        <v>VALUES('08802081','RequestDetails.aspx', 'USER', '01', '08', 'ABDUL', SYSDATE, '10.6.100.63');</v>
      </c>
      <c r="AO254" s="12" t="str">
        <f t="shared" si="139"/>
        <v>INSERT INTO sy_perm_list (USER_CD, OPT_CD, ACCESS_TYPE, BRANCH_CODE, CLASS_CODE, ENT_BY, ENT_DATE, ENT_BY_IP)</v>
      </c>
      <c r="AP254" s="12" t="str">
        <f t="shared" si="140"/>
        <v>VALUES('08802081','TodaysRequest.aspx', 'USER', '01', '08', 'ABDUL', SYSDATE, '10.6.100.63');</v>
      </c>
    </row>
    <row r="255" spans="2:42" ht="78" thickBot="1" x14ac:dyDescent="0.3">
      <c r="B255" s="37" t="s">
        <v>1173</v>
      </c>
      <c r="J255" s="65" t="s">
        <v>1174</v>
      </c>
      <c r="K255" s="65" t="s">
        <v>1175</v>
      </c>
      <c r="L255" s="65" t="s">
        <v>1176</v>
      </c>
      <c r="M255" s="55" t="s">
        <v>1177</v>
      </c>
      <c r="O255" s="66">
        <v>44378</v>
      </c>
      <c r="P255" s="66">
        <v>44742</v>
      </c>
      <c r="S25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5" s="12" t="str">
        <f t="shared" si="118"/>
        <v>VALUES('08802189','Pak Grease Manufacturing Company (Pvt) Limited','Salaam@123','Y','N',sysdate,'016', 'C', 'Client', 'Saud Ahmed','01','B', '08', 'ABDUL', sysdate, '10.6.100.63', '08802189');</v>
      </c>
      <c r="U255" s="12" t="str">
        <f t="shared" si="119"/>
        <v>INSERT INTO sy_user_branches (USER_CD, BRANCH_CODE, CLASS_CODE, ENT_BY, ENT_DATE, ENT_BY_IP)</v>
      </c>
      <c r="V255" s="12" t="str">
        <f t="shared" si="120"/>
        <v>values('08802189','01', '08', 'ABDUL', sysdate, '10.6.100.63');</v>
      </c>
      <c r="W255" s="12" t="str">
        <f t="shared" si="121"/>
        <v>INSERT INTO sy_perm_list (USER_CD, OPT_CD, ACCESS_TYPE, BRANCH_CODE, CLASS_CODE, ENT_BY, ENT_DATE, ENT_BY_IP)</v>
      </c>
      <c r="X255" s="12" t="str">
        <f t="shared" si="122"/>
        <v>VALUES('08802189','ClaimComments.aspx', 'USER', '01', '08', 'ABDUL', SYSDATE, '10.6.100.63');</v>
      </c>
      <c r="Y255" s="12" t="str">
        <f t="shared" si="123"/>
        <v>INSERT INTO sy_perm_list (USER_CD, OPT_CD, ACCESS_TYPE, BRANCH_CODE, CLASS_CODE, ENT_BY, ENT_DATE, ENT_BY_IP)</v>
      </c>
      <c r="Z255" s="12" t="str">
        <f t="shared" si="124"/>
        <v>VALUES('08802189','ClaimDocs.aspx', 'USER', '01', '08', 'ABDUL', SYSDATE, '10.6.100.63');</v>
      </c>
      <c r="AA255" s="12" t="str">
        <f t="shared" si="125"/>
        <v>INSERT INTO sy_perm_list (USER_CD, OPT_CD, ACCESS_TYPE, BRANCH_CODE, CLASS_CODE, ENT_BY, ENT_DATE, ENT_BY_IP)</v>
      </c>
      <c r="AB255" s="12" t="str">
        <f t="shared" si="126"/>
        <v>VALUES('08802189','Client.aspx', 'USER', '01', '08', 'ABDUL', SYSDATE, '10.6.100.63');</v>
      </c>
      <c r="AC255" s="12" t="str">
        <f t="shared" si="127"/>
        <v>INSERT INTO sy_perm_list (USER_CD, OPT_CD, ACCESS_TYPE, BRANCH_CODE, CLASS_CODE, ENT_BY, ENT_DATE, ENT_BY_IP)</v>
      </c>
      <c r="AD255" s="12" t="str">
        <f t="shared" si="128"/>
        <v>VALUES('08802189','ClientReports.aspx', 'USER', '01', '08', 'ABDUL', SYSDATE, '10.6.100.63');</v>
      </c>
      <c r="AE255" s="12" t="str">
        <f t="shared" si="129"/>
        <v>INSERT INTO sy_perm_list (USER_CD, OPT_CD, ACCESS_TYPE, BRANCH_CODE, CLASS_CODE, ENT_BY, ENT_DATE, ENT_BY_IP)</v>
      </c>
      <c r="AF255" s="12" t="str">
        <f t="shared" si="130"/>
        <v>VALUES('08802189','ClientRequests.aspx', 'USER', '01', '08', 'ABDUL', SYSDATE, '10.6.100.63');</v>
      </c>
      <c r="AG255" s="12" t="str">
        <f t="shared" si="131"/>
        <v>INSERT INTO sy_perm_list (USER_CD, OPT_CD, ACCESS_TYPE, BRANCH_CODE, CLASS_CODE, ENT_BY, ENT_DATE, ENT_BY_IP)</v>
      </c>
      <c r="AH255" s="12" t="str">
        <f t="shared" si="132"/>
        <v>VALUES('08802189','HealthLife.aspx', 'USER', '01', '08', 'ABDUL', SYSDATE, '10.6.100.63');</v>
      </c>
      <c r="AI255" s="12" t="str">
        <f t="shared" si="133"/>
        <v>INSERT INTO sy_perm_list (USER_CD, OPT_CD, ACCESS_TYPE, BRANCH_CODE, CLASS_CODE, ENT_BY, ENT_DATE, ENT_BY_IP)</v>
      </c>
      <c r="AJ255" s="12" t="str">
        <f t="shared" si="134"/>
        <v>VALUES('08802189','IpdClaim.aspx', 'USER', '01', '08', 'ABDUL', SYSDATE, '10.6.100.63');</v>
      </c>
      <c r="AK255" s="12" t="str">
        <f t="shared" si="135"/>
        <v>INSERT INTO sy_perm_list (USER_CD, OPT_CD, ACCESS_TYPE, BRANCH_CODE, CLASS_CODE, ENT_BY, ENT_DATE, ENT_BY_IP)</v>
      </c>
      <c r="AL255" s="12" t="str">
        <f t="shared" si="136"/>
        <v>VALUES('08802189','OpdClaim.aspx', 'USER', '01', '08', 'ABDUL', SYSDATE, '10.6.100.63');</v>
      </c>
      <c r="AM255" s="12" t="str">
        <f t="shared" si="137"/>
        <v>INSERT INTO sy_perm_list (USER_CD, OPT_CD, ACCESS_TYPE, BRANCH_CODE, CLASS_CODE, ENT_BY, ENT_DATE, ENT_BY_IP)</v>
      </c>
      <c r="AN255" s="12" t="str">
        <f t="shared" si="138"/>
        <v>VALUES('08802189','RequestDetails.aspx', 'USER', '01', '08', 'ABDUL', SYSDATE, '10.6.100.63');</v>
      </c>
      <c r="AO255" s="12" t="str">
        <f t="shared" si="139"/>
        <v>INSERT INTO sy_perm_list (USER_CD, OPT_CD, ACCESS_TYPE, BRANCH_CODE, CLASS_CODE, ENT_BY, ENT_DATE, ENT_BY_IP)</v>
      </c>
      <c r="AP255" s="12" t="str">
        <f t="shared" si="140"/>
        <v>VALUES('08802189','TodaysRequest.aspx', 'USER', '01', '08', 'ABDUL', SYSDATE, '10.6.100.63');</v>
      </c>
    </row>
    <row r="256" spans="2:42" ht="77.25" x14ac:dyDescent="0.25">
      <c r="B256" s="37" t="s">
        <v>1178</v>
      </c>
      <c r="J256" t="s">
        <v>1179</v>
      </c>
      <c r="K256" t="s">
        <v>1180</v>
      </c>
      <c r="L256" t="s">
        <v>63</v>
      </c>
      <c r="M256" s="11" t="s">
        <v>64</v>
      </c>
      <c r="S25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6" s="12" t="str">
        <f t="shared" ref="T256:T279" si="142">"VALUES('"&amp;B256&amp;"','"&amp;K256&amp;"','Salaam@123','Y','N',sysdate,'016', 'C', 'Client', '"&amp;L256&amp;"','01','B', '08', 'ABDUL', sysdate, '10.6.100.63', '"&amp;B256&amp;"');"</f>
        <v>VALUES('08802247','SACHAL INTERNATIONAL (PVT) LIMITED','Salaam@123','Y','N',sysdate,'016', 'C', 'Client', 'Suman Kumari','01','B', '08', 'ABDUL', sysdate, '10.6.100.63', '08802247');</v>
      </c>
      <c r="U256" s="12" t="str">
        <f t="shared" si="119"/>
        <v>INSERT INTO sy_user_branches (USER_CD, BRANCH_CODE, CLASS_CODE, ENT_BY, ENT_DATE, ENT_BY_IP)</v>
      </c>
      <c r="V256" s="12" t="str">
        <f t="shared" si="120"/>
        <v>values('08802247','01', '08', 'ABDUL', sysdate, '10.6.100.63');</v>
      </c>
      <c r="W256" s="12" t="str">
        <f t="shared" si="121"/>
        <v>INSERT INTO sy_perm_list (USER_CD, OPT_CD, ACCESS_TYPE, BRANCH_CODE, CLASS_CODE, ENT_BY, ENT_DATE, ENT_BY_IP)</v>
      </c>
      <c r="X256" s="12" t="str">
        <f t="shared" si="122"/>
        <v>VALUES('08802247','ClaimComments.aspx', 'USER', '01', '08', 'ABDUL', SYSDATE, '10.6.100.63');</v>
      </c>
      <c r="Y256" s="12" t="str">
        <f t="shared" si="123"/>
        <v>INSERT INTO sy_perm_list (USER_CD, OPT_CD, ACCESS_TYPE, BRANCH_CODE, CLASS_CODE, ENT_BY, ENT_DATE, ENT_BY_IP)</v>
      </c>
      <c r="Z256" s="12" t="str">
        <f t="shared" si="124"/>
        <v>VALUES('08802247','ClaimDocs.aspx', 'USER', '01', '08', 'ABDUL', SYSDATE, '10.6.100.63');</v>
      </c>
      <c r="AA256" s="12" t="str">
        <f t="shared" si="125"/>
        <v>INSERT INTO sy_perm_list (USER_CD, OPT_CD, ACCESS_TYPE, BRANCH_CODE, CLASS_CODE, ENT_BY, ENT_DATE, ENT_BY_IP)</v>
      </c>
      <c r="AB256" s="12" t="str">
        <f t="shared" si="126"/>
        <v>VALUES('08802247','Client.aspx', 'USER', '01', '08', 'ABDUL', SYSDATE, '10.6.100.63');</v>
      </c>
      <c r="AC256" s="12" t="str">
        <f t="shared" si="127"/>
        <v>INSERT INTO sy_perm_list (USER_CD, OPT_CD, ACCESS_TYPE, BRANCH_CODE, CLASS_CODE, ENT_BY, ENT_DATE, ENT_BY_IP)</v>
      </c>
      <c r="AD256" s="12" t="str">
        <f t="shared" si="128"/>
        <v>VALUES('08802247','ClientReports.aspx', 'USER', '01', '08', 'ABDUL', SYSDATE, '10.6.100.63');</v>
      </c>
      <c r="AE256" s="12" t="str">
        <f t="shared" si="129"/>
        <v>INSERT INTO sy_perm_list (USER_CD, OPT_CD, ACCESS_TYPE, BRANCH_CODE, CLASS_CODE, ENT_BY, ENT_DATE, ENT_BY_IP)</v>
      </c>
      <c r="AF256" s="12" t="str">
        <f t="shared" si="130"/>
        <v>VALUES('08802247','ClientRequests.aspx', 'USER', '01', '08', 'ABDUL', SYSDATE, '10.6.100.63');</v>
      </c>
      <c r="AG256" s="12" t="str">
        <f t="shared" si="131"/>
        <v>INSERT INTO sy_perm_list (USER_CD, OPT_CD, ACCESS_TYPE, BRANCH_CODE, CLASS_CODE, ENT_BY, ENT_DATE, ENT_BY_IP)</v>
      </c>
      <c r="AH256" s="12" t="str">
        <f t="shared" si="132"/>
        <v>VALUES('08802247','HealthLife.aspx', 'USER', '01', '08', 'ABDUL', SYSDATE, '10.6.100.63');</v>
      </c>
      <c r="AI256" s="12" t="str">
        <f t="shared" si="133"/>
        <v>INSERT INTO sy_perm_list (USER_CD, OPT_CD, ACCESS_TYPE, BRANCH_CODE, CLASS_CODE, ENT_BY, ENT_DATE, ENT_BY_IP)</v>
      </c>
      <c r="AJ256" s="12" t="str">
        <f t="shared" si="134"/>
        <v>VALUES('08802247','IpdClaim.aspx', 'USER', '01', '08', 'ABDUL', SYSDATE, '10.6.100.63');</v>
      </c>
      <c r="AK256" s="12" t="str">
        <f t="shared" si="135"/>
        <v>INSERT INTO sy_perm_list (USER_CD, OPT_CD, ACCESS_TYPE, BRANCH_CODE, CLASS_CODE, ENT_BY, ENT_DATE, ENT_BY_IP)</v>
      </c>
      <c r="AL256" s="12" t="str">
        <f t="shared" si="136"/>
        <v>VALUES('08802247','OpdClaim.aspx', 'USER', '01', '08', 'ABDUL', SYSDATE, '10.6.100.63');</v>
      </c>
      <c r="AM256" s="12" t="str">
        <f t="shared" si="137"/>
        <v>INSERT INTO sy_perm_list (USER_CD, OPT_CD, ACCESS_TYPE, BRANCH_CODE, CLASS_CODE, ENT_BY, ENT_DATE, ENT_BY_IP)</v>
      </c>
      <c r="AN256" s="12" t="str">
        <f t="shared" si="138"/>
        <v>VALUES('08802247','RequestDetails.aspx', 'USER', '01', '08', 'ABDUL', SYSDATE, '10.6.100.63');</v>
      </c>
      <c r="AO256" s="12" t="str">
        <f t="shared" si="139"/>
        <v>INSERT INTO sy_perm_list (USER_CD, OPT_CD, ACCESS_TYPE, BRANCH_CODE, CLASS_CODE, ENT_BY, ENT_DATE, ENT_BY_IP)</v>
      </c>
      <c r="AP256" s="12" t="str">
        <f t="shared" si="140"/>
        <v>VALUES('08802247','TodaysRequest.aspx', 'USER', '01', '08', 'ABDUL', SYSDATE, '10.6.100.63');</v>
      </c>
    </row>
    <row r="257" spans="1:42" ht="77.25" x14ac:dyDescent="0.25">
      <c r="A257" s="37"/>
      <c r="B257" s="37" t="s">
        <v>1182</v>
      </c>
      <c r="C257" s="37"/>
      <c r="D257" s="37"/>
      <c r="E257" s="37"/>
      <c r="F257" s="37"/>
      <c r="G257" s="37"/>
      <c r="H257" s="37"/>
      <c r="I257" s="37"/>
      <c r="J257" s="37" t="s">
        <v>1186</v>
      </c>
      <c r="K257" s="37" t="s">
        <v>1183</v>
      </c>
      <c r="L257" s="37" t="s">
        <v>1184</v>
      </c>
      <c r="M257" s="67" t="s">
        <v>1185</v>
      </c>
      <c r="N257" s="37"/>
      <c r="O257" s="37"/>
      <c r="P257" s="37"/>
      <c r="Q257" s="37"/>
      <c r="R257" s="37"/>
      <c r="S25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7" s="12" t="str">
        <f t="shared" si="142"/>
        <v>VALUES('08802795','IFCONDITION (SMC-PRIVATE) LIMITED','Salaam@123','Y','N',sysdate,'016', 'C', 'Client', 'Talha Nasir Khan','01','B', '08', 'ABDUL', sysdate, '10.6.100.63', '08802795');</v>
      </c>
      <c r="U257" s="12" t="str">
        <f t="shared" si="119"/>
        <v>INSERT INTO sy_user_branches (USER_CD, BRANCH_CODE, CLASS_CODE, ENT_BY, ENT_DATE, ENT_BY_IP)</v>
      </c>
      <c r="V257" s="12" t="str">
        <f t="shared" si="120"/>
        <v>values('08802795','01', '08', 'ABDUL', sysdate, '10.6.100.63');</v>
      </c>
      <c r="W257" s="12" t="str">
        <f t="shared" si="121"/>
        <v>INSERT INTO sy_perm_list (USER_CD, OPT_CD, ACCESS_TYPE, BRANCH_CODE, CLASS_CODE, ENT_BY, ENT_DATE, ENT_BY_IP)</v>
      </c>
      <c r="X257" s="12" t="str">
        <f t="shared" si="122"/>
        <v>VALUES('08802795','ClaimComments.aspx', 'USER', '01', '08', 'ABDUL', SYSDATE, '10.6.100.63');</v>
      </c>
      <c r="Y257" s="12" t="str">
        <f t="shared" si="123"/>
        <v>INSERT INTO sy_perm_list (USER_CD, OPT_CD, ACCESS_TYPE, BRANCH_CODE, CLASS_CODE, ENT_BY, ENT_DATE, ENT_BY_IP)</v>
      </c>
      <c r="Z257" s="12" t="str">
        <f t="shared" si="124"/>
        <v>VALUES('08802795','ClaimDocs.aspx', 'USER', '01', '08', 'ABDUL', SYSDATE, '10.6.100.63');</v>
      </c>
      <c r="AA257" s="12" t="str">
        <f t="shared" si="125"/>
        <v>INSERT INTO sy_perm_list (USER_CD, OPT_CD, ACCESS_TYPE, BRANCH_CODE, CLASS_CODE, ENT_BY, ENT_DATE, ENT_BY_IP)</v>
      </c>
      <c r="AB257" s="12" t="str">
        <f t="shared" si="126"/>
        <v>VALUES('08802795','Client.aspx', 'USER', '01', '08', 'ABDUL', SYSDATE, '10.6.100.63');</v>
      </c>
      <c r="AC257" s="12" t="str">
        <f t="shared" si="127"/>
        <v>INSERT INTO sy_perm_list (USER_CD, OPT_CD, ACCESS_TYPE, BRANCH_CODE, CLASS_CODE, ENT_BY, ENT_DATE, ENT_BY_IP)</v>
      </c>
      <c r="AD257" s="12" t="str">
        <f t="shared" si="128"/>
        <v>VALUES('08802795','ClientReports.aspx', 'USER', '01', '08', 'ABDUL', SYSDATE, '10.6.100.63');</v>
      </c>
      <c r="AE257" s="12" t="str">
        <f t="shared" si="129"/>
        <v>INSERT INTO sy_perm_list (USER_CD, OPT_CD, ACCESS_TYPE, BRANCH_CODE, CLASS_CODE, ENT_BY, ENT_DATE, ENT_BY_IP)</v>
      </c>
      <c r="AF257" s="12" t="str">
        <f t="shared" si="130"/>
        <v>VALUES('08802795','ClientRequests.aspx', 'USER', '01', '08', 'ABDUL', SYSDATE, '10.6.100.63');</v>
      </c>
      <c r="AG257" s="12" t="str">
        <f t="shared" si="131"/>
        <v>INSERT INTO sy_perm_list (USER_CD, OPT_CD, ACCESS_TYPE, BRANCH_CODE, CLASS_CODE, ENT_BY, ENT_DATE, ENT_BY_IP)</v>
      </c>
      <c r="AH257" s="12" t="str">
        <f t="shared" si="132"/>
        <v>VALUES('08802795','HealthLife.aspx', 'USER', '01', '08', 'ABDUL', SYSDATE, '10.6.100.63');</v>
      </c>
      <c r="AI257" s="12" t="str">
        <f t="shared" si="133"/>
        <v>INSERT INTO sy_perm_list (USER_CD, OPT_CD, ACCESS_TYPE, BRANCH_CODE, CLASS_CODE, ENT_BY, ENT_DATE, ENT_BY_IP)</v>
      </c>
      <c r="AJ257" s="12" t="str">
        <f t="shared" si="134"/>
        <v>VALUES('08802795','IpdClaim.aspx', 'USER', '01', '08', 'ABDUL', SYSDATE, '10.6.100.63');</v>
      </c>
      <c r="AK257" s="12" t="str">
        <f t="shared" si="135"/>
        <v>INSERT INTO sy_perm_list (USER_CD, OPT_CD, ACCESS_TYPE, BRANCH_CODE, CLASS_CODE, ENT_BY, ENT_DATE, ENT_BY_IP)</v>
      </c>
      <c r="AL257" s="12" t="str">
        <f t="shared" si="136"/>
        <v>VALUES('08802795','OpdClaim.aspx', 'USER', '01', '08', 'ABDUL', SYSDATE, '10.6.100.63');</v>
      </c>
      <c r="AM257" s="12" t="str">
        <f t="shared" si="137"/>
        <v>INSERT INTO sy_perm_list (USER_CD, OPT_CD, ACCESS_TYPE, BRANCH_CODE, CLASS_CODE, ENT_BY, ENT_DATE, ENT_BY_IP)</v>
      </c>
      <c r="AN257" s="12" t="str">
        <f t="shared" si="138"/>
        <v>VALUES('08802795','RequestDetails.aspx', 'USER', '01', '08', 'ABDUL', SYSDATE, '10.6.100.63');</v>
      </c>
      <c r="AO257" s="12" t="str">
        <f t="shared" si="139"/>
        <v>INSERT INTO sy_perm_list (USER_CD, OPT_CD, ACCESS_TYPE, BRANCH_CODE, CLASS_CODE, ENT_BY, ENT_DATE, ENT_BY_IP)</v>
      </c>
      <c r="AP257" s="12" t="str">
        <f t="shared" si="140"/>
        <v>VALUES('08802795','TodaysRequest.aspx', 'USER', '01', '08', 'ABDUL', SYSDATE, '10.6.100.63');</v>
      </c>
    </row>
    <row r="258" spans="1:42" ht="77.25" x14ac:dyDescent="0.25">
      <c r="A258" s="37"/>
      <c r="B258" s="37" t="s">
        <v>1187</v>
      </c>
      <c r="C258" s="37"/>
      <c r="D258" s="37"/>
      <c r="E258" s="37"/>
      <c r="F258" s="37"/>
      <c r="G258" s="37"/>
      <c r="H258" s="37"/>
      <c r="I258" s="37"/>
      <c r="J258" s="37" t="s">
        <v>1188</v>
      </c>
      <c r="K258" s="37" t="s">
        <v>1190</v>
      </c>
      <c r="L258" s="37" t="s">
        <v>1189</v>
      </c>
      <c r="M258" s="67" t="s">
        <v>1191</v>
      </c>
      <c r="N258" s="37"/>
      <c r="O258" s="37"/>
      <c r="P258" s="37"/>
      <c r="Q258" s="37"/>
      <c r="R258" s="37"/>
      <c r="S25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8" s="12" t="str">
        <f t="shared" si="142"/>
        <v>VALUES('08802428','SILICONPLEX','Salaam@123','Y','N',sysdate,'016', 'C', 'Client', 'Shayan Ahmed','01','B', '08', 'ABDUL', sysdate, '10.6.100.63', '08802428');</v>
      </c>
      <c r="U258" s="12" t="str">
        <f t="shared" si="119"/>
        <v>INSERT INTO sy_user_branches (USER_CD, BRANCH_CODE, CLASS_CODE, ENT_BY, ENT_DATE, ENT_BY_IP)</v>
      </c>
      <c r="V258" s="12" t="str">
        <f t="shared" si="120"/>
        <v>values('08802428','01', '08', 'ABDUL', sysdate, '10.6.100.63');</v>
      </c>
      <c r="W258" s="12" t="str">
        <f t="shared" si="121"/>
        <v>INSERT INTO sy_perm_list (USER_CD, OPT_CD, ACCESS_TYPE, BRANCH_CODE, CLASS_CODE, ENT_BY, ENT_DATE, ENT_BY_IP)</v>
      </c>
      <c r="X258" s="12" t="str">
        <f t="shared" si="122"/>
        <v>VALUES('08802428','ClaimComments.aspx', 'USER', '01', '08', 'ABDUL', SYSDATE, '10.6.100.63');</v>
      </c>
      <c r="Y258" s="12" t="str">
        <f t="shared" si="123"/>
        <v>INSERT INTO sy_perm_list (USER_CD, OPT_CD, ACCESS_TYPE, BRANCH_CODE, CLASS_CODE, ENT_BY, ENT_DATE, ENT_BY_IP)</v>
      </c>
      <c r="Z258" s="12" t="str">
        <f t="shared" si="124"/>
        <v>VALUES('08802428','ClaimDocs.aspx', 'USER', '01', '08', 'ABDUL', SYSDATE, '10.6.100.63');</v>
      </c>
      <c r="AA258" s="12" t="str">
        <f t="shared" si="125"/>
        <v>INSERT INTO sy_perm_list (USER_CD, OPT_CD, ACCESS_TYPE, BRANCH_CODE, CLASS_CODE, ENT_BY, ENT_DATE, ENT_BY_IP)</v>
      </c>
      <c r="AB258" s="12" t="str">
        <f t="shared" si="126"/>
        <v>VALUES('08802428','Client.aspx', 'USER', '01', '08', 'ABDUL', SYSDATE, '10.6.100.63');</v>
      </c>
      <c r="AC258" s="12" t="str">
        <f t="shared" si="127"/>
        <v>INSERT INTO sy_perm_list (USER_CD, OPT_CD, ACCESS_TYPE, BRANCH_CODE, CLASS_CODE, ENT_BY, ENT_DATE, ENT_BY_IP)</v>
      </c>
      <c r="AD258" s="12" t="str">
        <f t="shared" si="128"/>
        <v>VALUES('08802428','ClientReports.aspx', 'USER', '01', '08', 'ABDUL', SYSDATE, '10.6.100.63');</v>
      </c>
      <c r="AE258" s="12" t="str">
        <f t="shared" si="129"/>
        <v>INSERT INTO sy_perm_list (USER_CD, OPT_CD, ACCESS_TYPE, BRANCH_CODE, CLASS_CODE, ENT_BY, ENT_DATE, ENT_BY_IP)</v>
      </c>
      <c r="AF258" s="12" t="str">
        <f t="shared" si="130"/>
        <v>VALUES('08802428','ClientRequests.aspx', 'USER', '01', '08', 'ABDUL', SYSDATE, '10.6.100.63');</v>
      </c>
      <c r="AG258" s="12" t="str">
        <f t="shared" si="131"/>
        <v>INSERT INTO sy_perm_list (USER_CD, OPT_CD, ACCESS_TYPE, BRANCH_CODE, CLASS_CODE, ENT_BY, ENT_DATE, ENT_BY_IP)</v>
      </c>
      <c r="AH258" s="12" t="str">
        <f t="shared" si="132"/>
        <v>VALUES('08802428','HealthLife.aspx', 'USER', '01', '08', 'ABDUL', SYSDATE, '10.6.100.63');</v>
      </c>
      <c r="AI258" s="12" t="str">
        <f t="shared" si="133"/>
        <v>INSERT INTO sy_perm_list (USER_CD, OPT_CD, ACCESS_TYPE, BRANCH_CODE, CLASS_CODE, ENT_BY, ENT_DATE, ENT_BY_IP)</v>
      </c>
      <c r="AJ258" s="12" t="str">
        <f t="shared" si="134"/>
        <v>VALUES('08802428','IpdClaim.aspx', 'USER', '01', '08', 'ABDUL', SYSDATE, '10.6.100.63');</v>
      </c>
      <c r="AK258" s="12" t="str">
        <f t="shared" si="135"/>
        <v>INSERT INTO sy_perm_list (USER_CD, OPT_CD, ACCESS_TYPE, BRANCH_CODE, CLASS_CODE, ENT_BY, ENT_DATE, ENT_BY_IP)</v>
      </c>
      <c r="AL258" s="12" t="str">
        <f t="shared" si="136"/>
        <v>VALUES('08802428','OpdClaim.aspx', 'USER', '01', '08', 'ABDUL', SYSDATE, '10.6.100.63');</v>
      </c>
      <c r="AM258" s="12" t="str">
        <f t="shared" si="137"/>
        <v>INSERT INTO sy_perm_list (USER_CD, OPT_CD, ACCESS_TYPE, BRANCH_CODE, CLASS_CODE, ENT_BY, ENT_DATE, ENT_BY_IP)</v>
      </c>
      <c r="AN258" s="12" t="str">
        <f t="shared" si="138"/>
        <v>VALUES('08802428','RequestDetails.aspx', 'USER', '01', '08', 'ABDUL', SYSDATE, '10.6.100.63');</v>
      </c>
      <c r="AO258" s="12" t="str">
        <f t="shared" si="139"/>
        <v>INSERT INTO sy_perm_list (USER_CD, OPT_CD, ACCESS_TYPE, BRANCH_CODE, CLASS_CODE, ENT_BY, ENT_DATE, ENT_BY_IP)</v>
      </c>
      <c r="AP258" s="12" t="str">
        <f t="shared" si="140"/>
        <v>VALUES('08802428','TodaysRequest.aspx', 'USER', '01', '08', 'ABDUL', SYSDATE, '10.6.100.63');</v>
      </c>
    </row>
    <row r="259" spans="1:42" ht="78" thickBot="1" x14ac:dyDescent="0.3">
      <c r="A259" s="37"/>
      <c r="B259" s="37" t="s">
        <v>1192</v>
      </c>
      <c r="C259" s="37"/>
      <c r="D259" s="37"/>
      <c r="E259" s="37"/>
      <c r="F259" s="37"/>
      <c r="G259" s="37"/>
      <c r="H259" s="37"/>
      <c r="I259" s="37"/>
      <c r="J259" s="37" t="s">
        <v>1193</v>
      </c>
      <c r="K259" s="37" t="s">
        <v>1194</v>
      </c>
      <c r="L259" s="37" t="s">
        <v>1195</v>
      </c>
      <c r="M259" s="42" t="s">
        <v>1196</v>
      </c>
      <c r="N259" s="37"/>
      <c r="O259" s="37"/>
      <c r="P259" s="37"/>
      <c r="Q259" s="37"/>
      <c r="R259" s="37"/>
      <c r="S25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59" s="12" t="str">
        <f t="shared" si="142"/>
        <v>VALUES('08004285','LUCKY IMPEX','Salaam@123','Y','N',sysdate,'016', 'C', 'Client', 'Muhammad Dilawar ','01','B', '08', 'ABDUL', sysdate, '10.6.100.63', '08004285');</v>
      </c>
      <c r="U259" s="12" t="str">
        <f t="shared" si="119"/>
        <v>INSERT INTO sy_user_branches (USER_CD, BRANCH_CODE, CLASS_CODE, ENT_BY, ENT_DATE, ENT_BY_IP)</v>
      </c>
      <c r="V259" s="12" t="str">
        <f t="shared" si="120"/>
        <v>values('08004285','01', '08', 'ABDUL', sysdate, '10.6.100.63');</v>
      </c>
      <c r="W259" s="12" t="str">
        <f t="shared" si="121"/>
        <v>INSERT INTO sy_perm_list (USER_CD, OPT_CD, ACCESS_TYPE, BRANCH_CODE, CLASS_CODE, ENT_BY, ENT_DATE, ENT_BY_IP)</v>
      </c>
      <c r="X259" s="12" t="str">
        <f t="shared" si="122"/>
        <v>VALUES('08004285','ClaimComments.aspx', 'USER', '01', '08', 'ABDUL', SYSDATE, '10.6.100.63');</v>
      </c>
      <c r="Y259" s="12" t="str">
        <f t="shared" si="123"/>
        <v>INSERT INTO sy_perm_list (USER_CD, OPT_CD, ACCESS_TYPE, BRANCH_CODE, CLASS_CODE, ENT_BY, ENT_DATE, ENT_BY_IP)</v>
      </c>
      <c r="Z259" s="12" t="str">
        <f t="shared" si="124"/>
        <v>VALUES('08004285','ClaimDocs.aspx', 'USER', '01', '08', 'ABDUL', SYSDATE, '10.6.100.63');</v>
      </c>
      <c r="AA259" s="12" t="str">
        <f t="shared" si="125"/>
        <v>INSERT INTO sy_perm_list (USER_CD, OPT_CD, ACCESS_TYPE, BRANCH_CODE, CLASS_CODE, ENT_BY, ENT_DATE, ENT_BY_IP)</v>
      </c>
      <c r="AB259" s="12" t="str">
        <f t="shared" si="126"/>
        <v>VALUES('08004285','Client.aspx', 'USER', '01', '08', 'ABDUL', SYSDATE, '10.6.100.63');</v>
      </c>
      <c r="AC259" s="12" t="str">
        <f t="shared" si="127"/>
        <v>INSERT INTO sy_perm_list (USER_CD, OPT_CD, ACCESS_TYPE, BRANCH_CODE, CLASS_CODE, ENT_BY, ENT_DATE, ENT_BY_IP)</v>
      </c>
      <c r="AD259" s="12" t="str">
        <f t="shared" si="128"/>
        <v>VALUES('08004285','ClientReports.aspx', 'USER', '01', '08', 'ABDUL', SYSDATE, '10.6.100.63');</v>
      </c>
      <c r="AE259" s="12" t="str">
        <f t="shared" si="129"/>
        <v>INSERT INTO sy_perm_list (USER_CD, OPT_CD, ACCESS_TYPE, BRANCH_CODE, CLASS_CODE, ENT_BY, ENT_DATE, ENT_BY_IP)</v>
      </c>
      <c r="AF259" s="12" t="str">
        <f t="shared" si="130"/>
        <v>VALUES('08004285','ClientRequests.aspx', 'USER', '01', '08', 'ABDUL', SYSDATE, '10.6.100.63');</v>
      </c>
      <c r="AG259" s="12" t="str">
        <f t="shared" si="131"/>
        <v>INSERT INTO sy_perm_list (USER_CD, OPT_CD, ACCESS_TYPE, BRANCH_CODE, CLASS_CODE, ENT_BY, ENT_DATE, ENT_BY_IP)</v>
      </c>
      <c r="AH259" s="12" t="str">
        <f t="shared" si="132"/>
        <v>VALUES('08004285','HealthLife.aspx', 'USER', '01', '08', 'ABDUL', SYSDATE, '10.6.100.63');</v>
      </c>
      <c r="AI259" s="12" t="str">
        <f t="shared" si="133"/>
        <v>INSERT INTO sy_perm_list (USER_CD, OPT_CD, ACCESS_TYPE, BRANCH_CODE, CLASS_CODE, ENT_BY, ENT_DATE, ENT_BY_IP)</v>
      </c>
      <c r="AJ259" s="12" t="str">
        <f t="shared" si="134"/>
        <v>VALUES('08004285','IpdClaim.aspx', 'USER', '01', '08', 'ABDUL', SYSDATE, '10.6.100.63');</v>
      </c>
      <c r="AK259" s="12" t="str">
        <f t="shared" si="135"/>
        <v>INSERT INTO sy_perm_list (USER_CD, OPT_CD, ACCESS_TYPE, BRANCH_CODE, CLASS_CODE, ENT_BY, ENT_DATE, ENT_BY_IP)</v>
      </c>
      <c r="AL259" s="12" t="str">
        <f t="shared" si="136"/>
        <v>VALUES('08004285','OpdClaim.aspx', 'USER', '01', '08', 'ABDUL', SYSDATE, '10.6.100.63');</v>
      </c>
      <c r="AM259" s="12" t="str">
        <f t="shared" si="137"/>
        <v>INSERT INTO sy_perm_list (USER_CD, OPT_CD, ACCESS_TYPE, BRANCH_CODE, CLASS_CODE, ENT_BY, ENT_DATE, ENT_BY_IP)</v>
      </c>
      <c r="AN259" s="12" t="str">
        <f t="shared" si="138"/>
        <v>VALUES('08004285','RequestDetails.aspx', 'USER', '01', '08', 'ABDUL', SYSDATE, '10.6.100.63');</v>
      </c>
      <c r="AO259" s="12" t="str">
        <f t="shared" si="139"/>
        <v>INSERT INTO sy_perm_list (USER_CD, OPT_CD, ACCESS_TYPE, BRANCH_CODE, CLASS_CODE, ENT_BY, ENT_DATE, ENT_BY_IP)</v>
      </c>
      <c r="AP259" s="12" t="str">
        <f t="shared" si="140"/>
        <v>VALUES('08004285','TodaysRequest.aspx', 'USER', '01', '08', 'ABDUL', SYSDATE, '10.6.100.63');</v>
      </c>
    </row>
    <row r="260" spans="1:42" ht="78" thickBot="1" x14ac:dyDescent="0.3">
      <c r="A260" s="37"/>
      <c r="B260" s="37" t="s">
        <v>1197</v>
      </c>
      <c r="C260" s="37"/>
      <c r="D260" s="37"/>
      <c r="E260" s="37"/>
      <c r="F260" s="37"/>
      <c r="G260" s="37"/>
      <c r="H260" s="37"/>
      <c r="I260" s="37"/>
      <c r="J260" s="54" t="s">
        <v>1198</v>
      </c>
      <c r="K260" s="37" t="s">
        <v>1199</v>
      </c>
      <c r="L260" s="37" t="s">
        <v>1201</v>
      </c>
      <c r="M260" s="67" t="s">
        <v>1200</v>
      </c>
      <c r="N260" s="37"/>
      <c r="O260" s="37"/>
      <c r="P260" s="37"/>
      <c r="Q260" s="37"/>
      <c r="R260" s="37"/>
      <c r="S26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0" s="12" t="str">
        <f t="shared" si="142"/>
        <v>VALUES('08802859','HUB LEATHER (PRIVATE) LIMITED','Salaam@123','Y','N',sysdate,'016', 'C', 'Client', 'Muhammad Nafees ','01','B', '08', 'ABDUL', sysdate, '10.6.100.63', '08802859');</v>
      </c>
      <c r="U260" s="12" t="str">
        <f t="shared" si="119"/>
        <v>INSERT INTO sy_user_branches (USER_CD, BRANCH_CODE, CLASS_CODE, ENT_BY, ENT_DATE, ENT_BY_IP)</v>
      </c>
      <c r="V260" s="12" t="str">
        <f t="shared" si="120"/>
        <v>values('08802859','01', '08', 'ABDUL', sysdate, '10.6.100.63');</v>
      </c>
      <c r="W260" s="12" t="str">
        <f t="shared" si="121"/>
        <v>INSERT INTO sy_perm_list (USER_CD, OPT_CD, ACCESS_TYPE, BRANCH_CODE, CLASS_CODE, ENT_BY, ENT_DATE, ENT_BY_IP)</v>
      </c>
      <c r="X260" s="12" t="str">
        <f t="shared" si="122"/>
        <v>VALUES('08802859','ClaimComments.aspx', 'USER', '01', '08', 'ABDUL', SYSDATE, '10.6.100.63');</v>
      </c>
      <c r="Y260" s="12" t="str">
        <f t="shared" si="123"/>
        <v>INSERT INTO sy_perm_list (USER_CD, OPT_CD, ACCESS_TYPE, BRANCH_CODE, CLASS_CODE, ENT_BY, ENT_DATE, ENT_BY_IP)</v>
      </c>
      <c r="Z260" s="12" t="str">
        <f t="shared" si="124"/>
        <v>VALUES('08802859','ClaimDocs.aspx', 'USER', '01', '08', 'ABDUL', SYSDATE, '10.6.100.63');</v>
      </c>
      <c r="AA260" s="12" t="str">
        <f t="shared" si="125"/>
        <v>INSERT INTO sy_perm_list (USER_CD, OPT_CD, ACCESS_TYPE, BRANCH_CODE, CLASS_CODE, ENT_BY, ENT_DATE, ENT_BY_IP)</v>
      </c>
      <c r="AB260" s="12" t="str">
        <f t="shared" si="126"/>
        <v>VALUES('08802859','Client.aspx', 'USER', '01', '08', 'ABDUL', SYSDATE, '10.6.100.63');</v>
      </c>
      <c r="AC260" s="12" t="str">
        <f t="shared" si="127"/>
        <v>INSERT INTO sy_perm_list (USER_CD, OPT_CD, ACCESS_TYPE, BRANCH_CODE, CLASS_CODE, ENT_BY, ENT_DATE, ENT_BY_IP)</v>
      </c>
      <c r="AD260" s="12" t="str">
        <f t="shared" si="128"/>
        <v>VALUES('08802859','ClientReports.aspx', 'USER', '01', '08', 'ABDUL', SYSDATE, '10.6.100.63');</v>
      </c>
      <c r="AE260" s="12" t="str">
        <f t="shared" si="129"/>
        <v>INSERT INTO sy_perm_list (USER_CD, OPT_CD, ACCESS_TYPE, BRANCH_CODE, CLASS_CODE, ENT_BY, ENT_DATE, ENT_BY_IP)</v>
      </c>
      <c r="AF260" s="12" t="str">
        <f t="shared" si="130"/>
        <v>VALUES('08802859','ClientRequests.aspx', 'USER', '01', '08', 'ABDUL', SYSDATE, '10.6.100.63');</v>
      </c>
      <c r="AG260" s="12" t="str">
        <f t="shared" si="131"/>
        <v>INSERT INTO sy_perm_list (USER_CD, OPT_CD, ACCESS_TYPE, BRANCH_CODE, CLASS_CODE, ENT_BY, ENT_DATE, ENT_BY_IP)</v>
      </c>
      <c r="AH260" s="12" t="str">
        <f t="shared" si="132"/>
        <v>VALUES('08802859','HealthLife.aspx', 'USER', '01', '08', 'ABDUL', SYSDATE, '10.6.100.63');</v>
      </c>
      <c r="AI260" s="12" t="str">
        <f t="shared" si="133"/>
        <v>INSERT INTO sy_perm_list (USER_CD, OPT_CD, ACCESS_TYPE, BRANCH_CODE, CLASS_CODE, ENT_BY, ENT_DATE, ENT_BY_IP)</v>
      </c>
      <c r="AJ260" s="12" t="str">
        <f t="shared" si="134"/>
        <v>VALUES('08802859','IpdClaim.aspx', 'USER', '01', '08', 'ABDUL', SYSDATE, '10.6.100.63');</v>
      </c>
      <c r="AK260" s="12" t="str">
        <f t="shared" si="135"/>
        <v>INSERT INTO sy_perm_list (USER_CD, OPT_CD, ACCESS_TYPE, BRANCH_CODE, CLASS_CODE, ENT_BY, ENT_DATE, ENT_BY_IP)</v>
      </c>
      <c r="AL260" s="12" t="str">
        <f t="shared" si="136"/>
        <v>VALUES('08802859','OpdClaim.aspx', 'USER', '01', '08', 'ABDUL', SYSDATE, '10.6.100.63');</v>
      </c>
      <c r="AM260" s="12" t="str">
        <f t="shared" si="137"/>
        <v>INSERT INTO sy_perm_list (USER_CD, OPT_CD, ACCESS_TYPE, BRANCH_CODE, CLASS_CODE, ENT_BY, ENT_DATE, ENT_BY_IP)</v>
      </c>
      <c r="AN260" s="12" t="str">
        <f t="shared" si="138"/>
        <v>VALUES('08802859','RequestDetails.aspx', 'USER', '01', '08', 'ABDUL', SYSDATE, '10.6.100.63');</v>
      </c>
      <c r="AO260" s="12" t="str">
        <f t="shared" si="139"/>
        <v>INSERT INTO sy_perm_list (USER_CD, OPT_CD, ACCESS_TYPE, BRANCH_CODE, CLASS_CODE, ENT_BY, ENT_DATE, ENT_BY_IP)</v>
      </c>
      <c r="AP260" s="12" t="str">
        <f t="shared" si="140"/>
        <v>VALUES('08802859','TodaysRequest.aspx', 'USER', '01', '08', 'ABDUL', SYSDATE, '10.6.100.63');</v>
      </c>
    </row>
    <row r="261" spans="1:42" ht="77.25" x14ac:dyDescent="0.25">
      <c r="A261" s="37"/>
      <c r="B261" s="37" t="s">
        <v>1202</v>
      </c>
      <c r="C261" s="37"/>
      <c r="D261" s="37"/>
      <c r="E261" s="37"/>
      <c r="F261" s="37"/>
      <c r="G261" s="37"/>
      <c r="H261" s="37"/>
      <c r="I261" s="37"/>
      <c r="J261" s="37" t="s">
        <v>1203</v>
      </c>
      <c r="K261" s="37" t="s">
        <v>1204</v>
      </c>
      <c r="L261" s="37" t="s">
        <v>1205</v>
      </c>
      <c r="M261" s="67" t="s">
        <v>1206</v>
      </c>
      <c r="N261" s="37"/>
      <c r="O261" s="37"/>
      <c r="P261" s="37"/>
      <c r="Q261" s="37"/>
      <c r="R261" s="37"/>
      <c r="S26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1" s="12" t="str">
        <f t="shared" si="142"/>
        <v>VALUES('08802858','REHMAT-E-SHEREEN','Salaam@123','Y','N',sysdate,'016', 'C', 'Client', 'Jawad Shaukat','01','B', '08', 'ABDUL', sysdate, '10.6.100.63', '08802858');</v>
      </c>
      <c r="U261" s="12" t="str">
        <f t="shared" si="119"/>
        <v>INSERT INTO sy_user_branches (USER_CD, BRANCH_CODE, CLASS_CODE, ENT_BY, ENT_DATE, ENT_BY_IP)</v>
      </c>
      <c r="V261" s="12" t="str">
        <f t="shared" si="120"/>
        <v>values('08802858','01', '08', 'ABDUL', sysdate, '10.6.100.63');</v>
      </c>
      <c r="W261" s="12" t="str">
        <f t="shared" si="121"/>
        <v>INSERT INTO sy_perm_list (USER_CD, OPT_CD, ACCESS_TYPE, BRANCH_CODE, CLASS_CODE, ENT_BY, ENT_DATE, ENT_BY_IP)</v>
      </c>
      <c r="X261" s="12" t="str">
        <f t="shared" si="122"/>
        <v>VALUES('08802858','ClaimComments.aspx', 'USER', '01', '08', 'ABDUL', SYSDATE, '10.6.100.63');</v>
      </c>
      <c r="Y261" s="12" t="str">
        <f t="shared" si="123"/>
        <v>INSERT INTO sy_perm_list (USER_CD, OPT_CD, ACCESS_TYPE, BRANCH_CODE, CLASS_CODE, ENT_BY, ENT_DATE, ENT_BY_IP)</v>
      </c>
      <c r="Z261" s="12" t="str">
        <f t="shared" si="124"/>
        <v>VALUES('08802858','ClaimDocs.aspx', 'USER', '01', '08', 'ABDUL', SYSDATE, '10.6.100.63');</v>
      </c>
      <c r="AA261" s="12" t="str">
        <f t="shared" si="125"/>
        <v>INSERT INTO sy_perm_list (USER_CD, OPT_CD, ACCESS_TYPE, BRANCH_CODE, CLASS_CODE, ENT_BY, ENT_DATE, ENT_BY_IP)</v>
      </c>
      <c r="AB261" s="12" t="str">
        <f t="shared" si="126"/>
        <v>VALUES('08802858','Client.aspx', 'USER', '01', '08', 'ABDUL', SYSDATE, '10.6.100.63');</v>
      </c>
      <c r="AC261" s="12" t="str">
        <f t="shared" si="127"/>
        <v>INSERT INTO sy_perm_list (USER_CD, OPT_CD, ACCESS_TYPE, BRANCH_CODE, CLASS_CODE, ENT_BY, ENT_DATE, ENT_BY_IP)</v>
      </c>
      <c r="AD261" s="12" t="str">
        <f t="shared" si="128"/>
        <v>VALUES('08802858','ClientReports.aspx', 'USER', '01', '08', 'ABDUL', SYSDATE, '10.6.100.63');</v>
      </c>
      <c r="AE261" s="12" t="str">
        <f t="shared" si="129"/>
        <v>INSERT INTO sy_perm_list (USER_CD, OPT_CD, ACCESS_TYPE, BRANCH_CODE, CLASS_CODE, ENT_BY, ENT_DATE, ENT_BY_IP)</v>
      </c>
      <c r="AF261" s="12" t="str">
        <f t="shared" si="130"/>
        <v>VALUES('08802858','ClientRequests.aspx', 'USER', '01', '08', 'ABDUL', SYSDATE, '10.6.100.63');</v>
      </c>
      <c r="AG261" s="12" t="str">
        <f t="shared" si="131"/>
        <v>INSERT INTO sy_perm_list (USER_CD, OPT_CD, ACCESS_TYPE, BRANCH_CODE, CLASS_CODE, ENT_BY, ENT_DATE, ENT_BY_IP)</v>
      </c>
      <c r="AH261" s="12" t="str">
        <f t="shared" si="132"/>
        <v>VALUES('08802858','HealthLife.aspx', 'USER', '01', '08', 'ABDUL', SYSDATE, '10.6.100.63');</v>
      </c>
      <c r="AI261" s="12" t="str">
        <f t="shared" si="133"/>
        <v>INSERT INTO sy_perm_list (USER_CD, OPT_CD, ACCESS_TYPE, BRANCH_CODE, CLASS_CODE, ENT_BY, ENT_DATE, ENT_BY_IP)</v>
      </c>
      <c r="AJ261" s="12" t="str">
        <f t="shared" si="134"/>
        <v>VALUES('08802858','IpdClaim.aspx', 'USER', '01', '08', 'ABDUL', SYSDATE, '10.6.100.63');</v>
      </c>
      <c r="AK261" s="12" t="str">
        <f t="shared" si="135"/>
        <v>INSERT INTO sy_perm_list (USER_CD, OPT_CD, ACCESS_TYPE, BRANCH_CODE, CLASS_CODE, ENT_BY, ENT_DATE, ENT_BY_IP)</v>
      </c>
      <c r="AL261" s="12" t="str">
        <f t="shared" si="136"/>
        <v>VALUES('08802858','OpdClaim.aspx', 'USER', '01', '08', 'ABDUL', SYSDATE, '10.6.100.63');</v>
      </c>
      <c r="AM261" s="12" t="str">
        <f t="shared" si="137"/>
        <v>INSERT INTO sy_perm_list (USER_CD, OPT_CD, ACCESS_TYPE, BRANCH_CODE, CLASS_CODE, ENT_BY, ENT_DATE, ENT_BY_IP)</v>
      </c>
      <c r="AN261" s="12" t="str">
        <f t="shared" si="138"/>
        <v>VALUES('08802858','RequestDetails.aspx', 'USER', '01', '08', 'ABDUL', SYSDATE, '10.6.100.63');</v>
      </c>
      <c r="AO261" s="12" t="str">
        <f t="shared" si="139"/>
        <v>INSERT INTO sy_perm_list (USER_CD, OPT_CD, ACCESS_TYPE, BRANCH_CODE, CLASS_CODE, ENT_BY, ENT_DATE, ENT_BY_IP)</v>
      </c>
      <c r="AP261" s="12" t="str">
        <f t="shared" si="140"/>
        <v>VALUES('08802858','TodaysRequest.aspx', 'USER', '01', '08', 'ABDUL', SYSDATE, '10.6.100.63');</v>
      </c>
    </row>
    <row r="262" spans="1:42" ht="77.25" x14ac:dyDescent="0.25">
      <c r="A262" s="37"/>
      <c r="B262" s="37" t="s">
        <v>1207</v>
      </c>
      <c r="C262" s="37"/>
      <c r="D262" s="37"/>
      <c r="E262" s="37"/>
      <c r="F262" s="37"/>
      <c r="G262" s="37"/>
      <c r="H262" s="37"/>
      <c r="I262" s="37"/>
      <c r="J262" s="68" t="s">
        <v>1208</v>
      </c>
      <c r="K262" s="37" t="s">
        <v>1209</v>
      </c>
      <c r="L262" s="37" t="s">
        <v>1210</v>
      </c>
      <c r="M262" s="67" t="s">
        <v>1211</v>
      </c>
      <c r="N262" s="37"/>
      <c r="O262" s="37"/>
      <c r="P262" s="37"/>
      <c r="Q262" s="37"/>
      <c r="R262" s="37"/>
      <c r="S26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2" s="12" t="str">
        <f t="shared" si="142"/>
        <v>VALUES('08801294','PROPAKISTANI SOLUTIONS (PRIVATE) LIMITED','Salaam@123','Y','N',sysdate,'016', 'C', 'Client', 'HAMID CHOHAN','01','B', '08', 'ABDUL', sysdate, '10.6.100.63', '08801294');</v>
      </c>
      <c r="U262" s="12" t="str">
        <f t="shared" si="119"/>
        <v>INSERT INTO sy_user_branches (USER_CD, BRANCH_CODE, CLASS_CODE, ENT_BY, ENT_DATE, ENT_BY_IP)</v>
      </c>
      <c r="V262" s="12" t="str">
        <f t="shared" si="120"/>
        <v>values('08801294','01', '08', 'ABDUL', sysdate, '10.6.100.63');</v>
      </c>
      <c r="W262" s="12" t="str">
        <f t="shared" si="121"/>
        <v>INSERT INTO sy_perm_list (USER_CD, OPT_CD, ACCESS_TYPE, BRANCH_CODE, CLASS_CODE, ENT_BY, ENT_DATE, ENT_BY_IP)</v>
      </c>
      <c r="X262" s="12" t="str">
        <f t="shared" si="122"/>
        <v>VALUES('08801294','ClaimComments.aspx', 'USER', '01', '08', 'ABDUL', SYSDATE, '10.6.100.63');</v>
      </c>
      <c r="Y262" s="12" t="str">
        <f t="shared" si="123"/>
        <v>INSERT INTO sy_perm_list (USER_CD, OPT_CD, ACCESS_TYPE, BRANCH_CODE, CLASS_CODE, ENT_BY, ENT_DATE, ENT_BY_IP)</v>
      </c>
      <c r="Z262" s="12" t="str">
        <f t="shared" si="124"/>
        <v>VALUES('08801294','ClaimDocs.aspx', 'USER', '01', '08', 'ABDUL', SYSDATE, '10.6.100.63');</v>
      </c>
      <c r="AA262" s="12" t="str">
        <f t="shared" si="125"/>
        <v>INSERT INTO sy_perm_list (USER_CD, OPT_CD, ACCESS_TYPE, BRANCH_CODE, CLASS_CODE, ENT_BY, ENT_DATE, ENT_BY_IP)</v>
      </c>
      <c r="AB262" s="12" t="str">
        <f t="shared" si="126"/>
        <v>VALUES('08801294','Client.aspx', 'USER', '01', '08', 'ABDUL', SYSDATE, '10.6.100.63');</v>
      </c>
      <c r="AC262" s="12" t="str">
        <f t="shared" si="127"/>
        <v>INSERT INTO sy_perm_list (USER_CD, OPT_CD, ACCESS_TYPE, BRANCH_CODE, CLASS_CODE, ENT_BY, ENT_DATE, ENT_BY_IP)</v>
      </c>
      <c r="AD262" s="12" t="str">
        <f t="shared" si="128"/>
        <v>VALUES('08801294','ClientReports.aspx', 'USER', '01', '08', 'ABDUL', SYSDATE, '10.6.100.63');</v>
      </c>
      <c r="AE262" s="12" t="str">
        <f t="shared" si="129"/>
        <v>INSERT INTO sy_perm_list (USER_CD, OPT_CD, ACCESS_TYPE, BRANCH_CODE, CLASS_CODE, ENT_BY, ENT_DATE, ENT_BY_IP)</v>
      </c>
      <c r="AF262" s="12" t="str">
        <f t="shared" si="130"/>
        <v>VALUES('08801294','ClientRequests.aspx', 'USER', '01', '08', 'ABDUL', SYSDATE, '10.6.100.63');</v>
      </c>
      <c r="AG262" s="12" t="str">
        <f t="shared" si="131"/>
        <v>INSERT INTO sy_perm_list (USER_CD, OPT_CD, ACCESS_TYPE, BRANCH_CODE, CLASS_CODE, ENT_BY, ENT_DATE, ENT_BY_IP)</v>
      </c>
      <c r="AH262" s="12" t="str">
        <f t="shared" si="132"/>
        <v>VALUES('08801294','HealthLife.aspx', 'USER', '01', '08', 'ABDUL', SYSDATE, '10.6.100.63');</v>
      </c>
      <c r="AI262" s="12" t="str">
        <f t="shared" si="133"/>
        <v>INSERT INTO sy_perm_list (USER_CD, OPT_CD, ACCESS_TYPE, BRANCH_CODE, CLASS_CODE, ENT_BY, ENT_DATE, ENT_BY_IP)</v>
      </c>
      <c r="AJ262" s="12" t="str">
        <f t="shared" si="134"/>
        <v>VALUES('08801294','IpdClaim.aspx', 'USER', '01', '08', 'ABDUL', SYSDATE, '10.6.100.63');</v>
      </c>
      <c r="AK262" s="12" t="str">
        <f t="shared" si="135"/>
        <v>INSERT INTO sy_perm_list (USER_CD, OPT_CD, ACCESS_TYPE, BRANCH_CODE, CLASS_CODE, ENT_BY, ENT_DATE, ENT_BY_IP)</v>
      </c>
      <c r="AL262" s="12" t="str">
        <f t="shared" si="136"/>
        <v>VALUES('08801294','OpdClaim.aspx', 'USER', '01', '08', 'ABDUL', SYSDATE, '10.6.100.63');</v>
      </c>
      <c r="AM262" s="12" t="str">
        <f t="shared" si="137"/>
        <v>INSERT INTO sy_perm_list (USER_CD, OPT_CD, ACCESS_TYPE, BRANCH_CODE, CLASS_CODE, ENT_BY, ENT_DATE, ENT_BY_IP)</v>
      </c>
      <c r="AN262" s="12" t="str">
        <f t="shared" si="138"/>
        <v>VALUES('08801294','RequestDetails.aspx', 'USER', '01', '08', 'ABDUL', SYSDATE, '10.6.100.63');</v>
      </c>
      <c r="AO262" s="12" t="str">
        <f t="shared" si="139"/>
        <v>INSERT INTO sy_perm_list (USER_CD, OPT_CD, ACCESS_TYPE, BRANCH_CODE, CLASS_CODE, ENT_BY, ENT_DATE, ENT_BY_IP)</v>
      </c>
      <c r="AP262" s="12" t="str">
        <f t="shared" si="140"/>
        <v>VALUES('08801294','TodaysRequest.aspx', 'USER', '01', '08', 'ABDUL', SYSDATE, '10.6.100.63');</v>
      </c>
    </row>
    <row r="263" spans="1:42" ht="78" thickBot="1" x14ac:dyDescent="0.3">
      <c r="A263" s="37"/>
      <c r="B263" s="37" t="s">
        <v>1212</v>
      </c>
      <c r="C263" s="37"/>
      <c r="D263" s="37"/>
      <c r="E263" s="37"/>
      <c r="F263" s="37"/>
      <c r="G263" s="37"/>
      <c r="H263" s="37"/>
      <c r="I263" s="37"/>
      <c r="J263" s="40" t="s">
        <v>1213</v>
      </c>
      <c r="K263" s="69" t="s">
        <v>1214</v>
      </c>
      <c r="L263" s="39" t="s">
        <v>1216</v>
      </c>
      <c r="M263" s="42" t="s">
        <v>1215</v>
      </c>
      <c r="N263" s="37"/>
      <c r="O263" s="37"/>
      <c r="P263" s="37"/>
      <c r="Q263" s="37"/>
      <c r="R263" s="37"/>
      <c r="S26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3" s="12" t="str">
        <f t="shared" si="142"/>
        <v>VALUES('08801207','Airlift Technologies (Pvt) Ltd','Salaam@123','Y','N',sysdate,'016', 'C', 'Client', 'Abishay Gill ','01','B', '08', 'ABDUL', sysdate, '10.6.100.63', '08801207');</v>
      </c>
      <c r="U263" s="12" t="str">
        <f t="shared" si="119"/>
        <v>INSERT INTO sy_user_branches (USER_CD, BRANCH_CODE, CLASS_CODE, ENT_BY, ENT_DATE, ENT_BY_IP)</v>
      </c>
      <c r="V263" s="12" t="str">
        <f t="shared" si="120"/>
        <v>values('08801207','01', '08', 'ABDUL', sysdate, '10.6.100.63');</v>
      </c>
      <c r="W263" s="12" t="str">
        <f t="shared" si="121"/>
        <v>INSERT INTO sy_perm_list (USER_CD, OPT_CD, ACCESS_TYPE, BRANCH_CODE, CLASS_CODE, ENT_BY, ENT_DATE, ENT_BY_IP)</v>
      </c>
      <c r="X263" s="12" t="str">
        <f t="shared" si="122"/>
        <v>VALUES('08801207','ClaimComments.aspx', 'USER', '01', '08', 'ABDUL', SYSDATE, '10.6.100.63');</v>
      </c>
      <c r="Y263" s="12" t="str">
        <f t="shared" si="123"/>
        <v>INSERT INTO sy_perm_list (USER_CD, OPT_CD, ACCESS_TYPE, BRANCH_CODE, CLASS_CODE, ENT_BY, ENT_DATE, ENT_BY_IP)</v>
      </c>
      <c r="Z263" s="12" t="str">
        <f t="shared" si="124"/>
        <v>VALUES('08801207','ClaimDocs.aspx', 'USER', '01', '08', 'ABDUL', SYSDATE, '10.6.100.63');</v>
      </c>
      <c r="AA263" s="12" t="str">
        <f t="shared" si="125"/>
        <v>INSERT INTO sy_perm_list (USER_CD, OPT_CD, ACCESS_TYPE, BRANCH_CODE, CLASS_CODE, ENT_BY, ENT_DATE, ENT_BY_IP)</v>
      </c>
      <c r="AB263" s="12" t="str">
        <f t="shared" si="126"/>
        <v>VALUES('08801207','Client.aspx', 'USER', '01', '08', 'ABDUL', SYSDATE, '10.6.100.63');</v>
      </c>
      <c r="AC263" s="12" t="str">
        <f t="shared" si="127"/>
        <v>INSERT INTO sy_perm_list (USER_CD, OPT_CD, ACCESS_TYPE, BRANCH_CODE, CLASS_CODE, ENT_BY, ENT_DATE, ENT_BY_IP)</v>
      </c>
      <c r="AD263" s="12" t="str">
        <f t="shared" si="128"/>
        <v>VALUES('08801207','ClientReports.aspx', 'USER', '01', '08', 'ABDUL', SYSDATE, '10.6.100.63');</v>
      </c>
      <c r="AE263" s="12" t="str">
        <f t="shared" si="129"/>
        <v>INSERT INTO sy_perm_list (USER_CD, OPT_CD, ACCESS_TYPE, BRANCH_CODE, CLASS_CODE, ENT_BY, ENT_DATE, ENT_BY_IP)</v>
      </c>
      <c r="AF263" s="12" t="str">
        <f t="shared" si="130"/>
        <v>VALUES('08801207','ClientRequests.aspx', 'USER', '01', '08', 'ABDUL', SYSDATE, '10.6.100.63');</v>
      </c>
      <c r="AG263" s="12" t="str">
        <f t="shared" si="131"/>
        <v>INSERT INTO sy_perm_list (USER_CD, OPT_CD, ACCESS_TYPE, BRANCH_CODE, CLASS_CODE, ENT_BY, ENT_DATE, ENT_BY_IP)</v>
      </c>
      <c r="AH263" s="12" t="str">
        <f t="shared" si="132"/>
        <v>VALUES('08801207','HealthLife.aspx', 'USER', '01', '08', 'ABDUL', SYSDATE, '10.6.100.63');</v>
      </c>
      <c r="AI263" s="12" t="str">
        <f t="shared" si="133"/>
        <v>INSERT INTO sy_perm_list (USER_CD, OPT_CD, ACCESS_TYPE, BRANCH_CODE, CLASS_CODE, ENT_BY, ENT_DATE, ENT_BY_IP)</v>
      </c>
      <c r="AJ263" s="12" t="str">
        <f t="shared" si="134"/>
        <v>VALUES('08801207','IpdClaim.aspx', 'USER', '01', '08', 'ABDUL', SYSDATE, '10.6.100.63');</v>
      </c>
      <c r="AK263" s="12" t="str">
        <f t="shared" si="135"/>
        <v>INSERT INTO sy_perm_list (USER_CD, OPT_CD, ACCESS_TYPE, BRANCH_CODE, CLASS_CODE, ENT_BY, ENT_DATE, ENT_BY_IP)</v>
      </c>
      <c r="AL263" s="12" t="str">
        <f t="shared" si="136"/>
        <v>VALUES('08801207','OpdClaim.aspx', 'USER', '01', '08', 'ABDUL', SYSDATE, '10.6.100.63');</v>
      </c>
      <c r="AM263" s="12" t="str">
        <f t="shared" si="137"/>
        <v>INSERT INTO sy_perm_list (USER_CD, OPT_CD, ACCESS_TYPE, BRANCH_CODE, CLASS_CODE, ENT_BY, ENT_DATE, ENT_BY_IP)</v>
      </c>
      <c r="AN263" s="12" t="str">
        <f t="shared" si="138"/>
        <v>VALUES('08801207','RequestDetails.aspx', 'USER', '01', '08', 'ABDUL', SYSDATE, '10.6.100.63');</v>
      </c>
      <c r="AO263" s="12" t="str">
        <f t="shared" si="139"/>
        <v>INSERT INTO sy_perm_list (USER_CD, OPT_CD, ACCESS_TYPE, BRANCH_CODE, CLASS_CODE, ENT_BY, ENT_DATE, ENT_BY_IP)</v>
      </c>
      <c r="AP263" s="12" t="str">
        <f t="shared" si="140"/>
        <v>VALUES('08801207','TodaysRequest.aspx', 'USER', '01', '08', 'ABDUL', SYSDATE, '10.6.100.63');</v>
      </c>
    </row>
    <row r="264" spans="1:42" ht="78" thickBot="1" x14ac:dyDescent="0.3">
      <c r="A264" s="37"/>
      <c r="B264" s="37" t="s">
        <v>1217</v>
      </c>
      <c r="C264" s="37"/>
      <c r="D264" s="37"/>
      <c r="E264" s="37"/>
      <c r="F264" s="37"/>
      <c r="G264" s="37"/>
      <c r="H264" s="37"/>
      <c r="I264" s="37"/>
      <c r="J264" s="54" t="s">
        <v>1218</v>
      </c>
      <c r="K264" s="54" t="s">
        <v>1219</v>
      </c>
      <c r="L264" s="54" t="s">
        <v>1220</v>
      </c>
      <c r="M264" s="55" t="s">
        <v>1221</v>
      </c>
      <c r="N264" s="37"/>
      <c r="O264" s="37"/>
      <c r="P264" s="37"/>
      <c r="Q264" s="37"/>
      <c r="R264" s="37"/>
      <c r="S26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4" s="12" t="str">
        <f t="shared" si="142"/>
        <v>VALUES('08803092','Indus Valley Labs (Pvt) Ltd','Salaam@123','Y','N',sysdate,'016', 'C', 'Client', 'Danish Farooqui','01','B', '08', 'ABDUL', sysdate, '10.6.100.63', '08803092');</v>
      </c>
      <c r="U264" s="12" t="str">
        <f t="shared" si="119"/>
        <v>INSERT INTO sy_user_branches (USER_CD, BRANCH_CODE, CLASS_CODE, ENT_BY, ENT_DATE, ENT_BY_IP)</v>
      </c>
      <c r="V264" s="12" t="str">
        <f t="shared" si="120"/>
        <v>values('08803092','01', '08', 'ABDUL', sysdate, '10.6.100.63');</v>
      </c>
      <c r="W264" s="12" t="str">
        <f t="shared" si="121"/>
        <v>INSERT INTO sy_perm_list (USER_CD, OPT_CD, ACCESS_TYPE, BRANCH_CODE, CLASS_CODE, ENT_BY, ENT_DATE, ENT_BY_IP)</v>
      </c>
      <c r="X264" s="12" t="str">
        <f t="shared" si="122"/>
        <v>VALUES('08803092','ClaimComments.aspx', 'USER', '01', '08', 'ABDUL', SYSDATE, '10.6.100.63');</v>
      </c>
      <c r="Y264" s="12" t="str">
        <f t="shared" si="123"/>
        <v>INSERT INTO sy_perm_list (USER_CD, OPT_CD, ACCESS_TYPE, BRANCH_CODE, CLASS_CODE, ENT_BY, ENT_DATE, ENT_BY_IP)</v>
      </c>
      <c r="Z264" s="12" t="str">
        <f t="shared" si="124"/>
        <v>VALUES('08803092','ClaimDocs.aspx', 'USER', '01', '08', 'ABDUL', SYSDATE, '10.6.100.63');</v>
      </c>
      <c r="AA264" s="12" t="str">
        <f t="shared" si="125"/>
        <v>INSERT INTO sy_perm_list (USER_CD, OPT_CD, ACCESS_TYPE, BRANCH_CODE, CLASS_CODE, ENT_BY, ENT_DATE, ENT_BY_IP)</v>
      </c>
      <c r="AB264" s="12" t="str">
        <f t="shared" si="126"/>
        <v>VALUES('08803092','Client.aspx', 'USER', '01', '08', 'ABDUL', SYSDATE, '10.6.100.63');</v>
      </c>
      <c r="AC264" s="12" t="str">
        <f t="shared" si="127"/>
        <v>INSERT INTO sy_perm_list (USER_CD, OPT_CD, ACCESS_TYPE, BRANCH_CODE, CLASS_CODE, ENT_BY, ENT_DATE, ENT_BY_IP)</v>
      </c>
      <c r="AD264" s="12" t="str">
        <f t="shared" si="128"/>
        <v>VALUES('08803092','ClientReports.aspx', 'USER', '01', '08', 'ABDUL', SYSDATE, '10.6.100.63');</v>
      </c>
      <c r="AE264" s="12" t="str">
        <f t="shared" si="129"/>
        <v>INSERT INTO sy_perm_list (USER_CD, OPT_CD, ACCESS_TYPE, BRANCH_CODE, CLASS_CODE, ENT_BY, ENT_DATE, ENT_BY_IP)</v>
      </c>
      <c r="AF264" s="12" t="str">
        <f t="shared" si="130"/>
        <v>VALUES('08803092','ClientRequests.aspx', 'USER', '01', '08', 'ABDUL', SYSDATE, '10.6.100.63');</v>
      </c>
      <c r="AG264" s="12" t="str">
        <f t="shared" si="131"/>
        <v>INSERT INTO sy_perm_list (USER_CD, OPT_CD, ACCESS_TYPE, BRANCH_CODE, CLASS_CODE, ENT_BY, ENT_DATE, ENT_BY_IP)</v>
      </c>
      <c r="AH264" s="12" t="str">
        <f t="shared" si="132"/>
        <v>VALUES('08803092','HealthLife.aspx', 'USER', '01', '08', 'ABDUL', SYSDATE, '10.6.100.63');</v>
      </c>
      <c r="AI264" s="12" t="str">
        <f t="shared" si="133"/>
        <v>INSERT INTO sy_perm_list (USER_CD, OPT_CD, ACCESS_TYPE, BRANCH_CODE, CLASS_CODE, ENT_BY, ENT_DATE, ENT_BY_IP)</v>
      </c>
      <c r="AJ264" s="12" t="str">
        <f t="shared" si="134"/>
        <v>VALUES('08803092','IpdClaim.aspx', 'USER', '01', '08', 'ABDUL', SYSDATE, '10.6.100.63');</v>
      </c>
      <c r="AK264" s="12" t="str">
        <f t="shared" si="135"/>
        <v>INSERT INTO sy_perm_list (USER_CD, OPT_CD, ACCESS_TYPE, BRANCH_CODE, CLASS_CODE, ENT_BY, ENT_DATE, ENT_BY_IP)</v>
      </c>
      <c r="AL264" s="12" t="str">
        <f t="shared" si="136"/>
        <v>VALUES('08803092','OpdClaim.aspx', 'USER', '01', '08', 'ABDUL', SYSDATE, '10.6.100.63');</v>
      </c>
      <c r="AM264" s="12" t="str">
        <f t="shared" si="137"/>
        <v>INSERT INTO sy_perm_list (USER_CD, OPT_CD, ACCESS_TYPE, BRANCH_CODE, CLASS_CODE, ENT_BY, ENT_DATE, ENT_BY_IP)</v>
      </c>
      <c r="AN264" s="12" t="str">
        <f t="shared" si="138"/>
        <v>VALUES('08803092','RequestDetails.aspx', 'USER', '01', '08', 'ABDUL', SYSDATE, '10.6.100.63');</v>
      </c>
      <c r="AO264" s="12" t="str">
        <f t="shared" si="139"/>
        <v>INSERT INTO sy_perm_list (USER_CD, OPT_CD, ACCESS_TYPE, BRANCH_CODE, CLASS_CODE, ENT_BY, ENT_DATE, ENT_BY_IP)</v>
      </c>
      <c r="AP264" s="12" t="str">
        <f t="shared" si="140"/>
        <v>VALUES('08803092','TodaysRequest.aspx', 'USER', '01', '08', 'ABDUL', SYSDATE, '10.6.100.63');</v>
      </c>
    </row>
    <row r="265" spans="1:42" ht="78" thickBot="1" x14ac:dyDescent="0.3">
      <c r="A265" s="37"/>
      <c r="B265" s="37" t="s">
        <v>1222</v>
      </c>
      <c r="C265" s="37"/>
      <c r="D265" s="37"/>
      <c r="E265" s="37"/>
      <c r="F265" s="37"/>
      <c r="G265" s="37"/>
      <c r="H265" s="37"/>
      <c r="I265" s="37"/>
      <c r="J265" s="46" t="s">
        <v>1223</v>
      </c>
      <c r="K265" s="46" t="s">
        <v>1224</v>
      </c>
      <c r="L265" s="37" t="s">
        <v>1226</v>
      </c>
      <c r="M265" s="37" t="s">
        <v>1225</v>
      </c>
      <c r="N265" s="37"/>
      <c r="O265" s="37"/>
      <c r="P265" s="37"/>
      <c r="Q265" s="37"/>
      <c r="R265" s="37"/>
      <c r="S26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5" s="12" t="str">
        <f t="shared" si="142"/>
        <v>VALUES('08802750','TASK HUB (SMC-PRIVATE) LIMITED','Salaam@123','Y','N',sysdate,'016', 'C', 'Client', 'Ms. Alameera Noon','01','B', '08', 'ABDUL', sysdate, '10.6.100.63', '08802750');</v>
      </c>
      <c r="U265" s="12" t="str">
        <f t="shared" si="119"/>
        <v>INSERT INTO sy_user_branches (USER_CD, BRANCH_CODE, CLASS_CODE, ENT_BY, ENT_DATE, ENT_BY_IP)</v>
      </c>
      <c r="V265" s="12" t="str">
        <f t="shared" si="120"/>
        <v>values('08802750','01', '08', 'ABDUL', sysdate, '10.6.100.63');</v>
      </c>
      <c r="W265" s="12" t="str">
        <f t="shared" si="121"/>
        <v>INSERT INTO sy_perm_list (USER_CD, OPT_CD, ACCESS_TYPE, BRANCH_CODE, CLASS_CODE, ENT_BY, ENT_DATE, ENT_BY_IP)</v>
      </c>
      <c r="X265" s="12" t="str">
        <f t="shared" si="122"/>
        <v>VALUES('08802750','ClaimComments.aspx', 'USER', '01', '08', 'ABDUL', SYSDATE, '10.6.100.63');</v>
      </c>
      <c r="Y265" s="12" t="str">
        <f t="shared" si="123"/>
        <v>INSERT INTO sy_perm_list (USER_CD, OPT_CD, ACCESS_TYPE, BRANCH_CODE, CLASS_CODE, ENT_BY, ENT_DATE, ENT_BY_IP)</v>
      </c>
      <c r="Z265" s="12" t="str">
        <f t="shared" si="124"/>
        <v>VALUES('08802750','ClaimDocs.aspx', 'USER', '01', '08', 'ABDUL', SYSDATE, '10.6.100.63');</v>
      </c>
      <c r="AA265" s="12" t="str">
        <f t="shared" si="125"/>
        <v>INSERT INTO sy_perm_list (USER_CD, OPT_CD, ACCESS_TYPE, BRANCH_CODE, CLASS_CODE, ENT_BY, ENT_DATE, ENT_BY_IP)</v>
      </c>
      <c r="AB265" s="12" t="str">
        <f t="shared" si="126"/>
        <v>VALUES('08802750','Client.aspx', 'USER', '01', '08', 'ABDUL', SYSDATE, '10.6.100.63');</v>
      </c>
      <c r="AC265" s="12" t="str">
        <f t="shared" si="127"/>
        <v>INSERT INTO sy_perm_list (USER_CD, OPT_CD, ACCESS_TYPE, BRANCH_CODE, CLASS_CODE, ENT_BY, ENT_DATE, ENT_BY_IP)</v>
      </c>
      <c r="AD265" s="12" t="str">
        <f t="shared" si="128"/>
        <v>VALUES('08802750','ClientReports.aspx', 'USER', '01', '08', 'ABDUL', SYSDATE, '10.6.100.63');</v>
      </c>
      <c r="AE265" s="12" t="str">
        <f t="shared" si="129"/>
        <v>INSERT INTO sy_perm_list (USER_CD, OPT_CD, ACCESS_TYPE, BRANCH_CODE, CLASS_CODE, ENT_BY, ENT_DATE, ENT_BY_IP)</v>
      </c>
      <c r="AF265" s="12" t="str">
        <f t="shared" si="130"/>
        <v>VALUES('08802750','ClientRequests.aspx', 'USER', '01', '08', 'ABDUL', SYSDATE, '10.6.100.63');</v>
      </c>
      <c r="AG265" s="12" t="str">
        <f t="shared" si="131"/>
        <v>INSERT INTO sy_perm_list (USER_CD, OPT_CD, ACCESS_TYPE, BRANCH_CODE, CLASS_CODE, ENT_BY, ENT_DATE, ENT_BY_IP)</v>
      </c>
      <c r="AH265" s="12" t="str">
        <f t="shared" si="132"/>
        <v>VALUES('08802750','HealthLife.aspx', 'USER', '01', '08', 'ABDUL', SYSDATE, '10.6.100.63');</v>
      </c>
      <c r="AI265" s="12" t="str">
        <f t="shared" si="133"/>
        <v>INSERT INTO sy_perm_list (USER_CD, OPT_CD, ACCESS_TYPE, BRANCH_CODE, CLASS_CODE, ENT_BY, ENT_DATE, ENT_BY_IP)</v>
      </c>
      <c r="AJ265" s="12" t="str">
        <f t="shared" si="134"/>
        <v>VALUES('08802750','IpdClaim.aspx', 'USER', '01', '08', 'ABDUL', SYSDATE, '10.6.100.63');</v>
      </c>
      <c r="AK265" s="12" t="str">
        <f t="shared" si="135"/>
        <v>INSERT INTO sy_perm_list (USER_CD, OPT_CD, ACCESS_TYPE, BRANCH_CODE, CLASS_CODE, ENT_BY, ENT_DATE, ENT_BY_IP)</v>
      </c>
      <c r="AL265" s="12" t="str">
        <f t="shared" si="136"/>
        <v>VALUES('08802750','OpdClaim.aspx', 'USER', '01', '08', 'ABDUL', SYSDATE, '10.6.100.63');</v>
      </c>
      <c r="AM265" s="12" t="str">
        <f t="shared" si="137"/>
        <v>INSERT INTO sy_perm_list (USER_CD, OPT_CD, ACCESS_TYPE, BRANCH_CODE, CLASS_CODE, ENT_BY, ENT_DATE, ENT_BY_IP)</v>
      </c>
      <c r="AN265" s="12" t="str">
        <f t="shared" si="138"/>
        <v>VALUES('08802750','RequestDetails.aspx', 'USER', '01', '08', 'ABDUL', SYSDATE, '10.6.100.63');</v>
      </c>
      <c r="AO265" s="12" t="str">
        <f t="shared" si="139"/>
        <v>INSERT INTO sy_perm_list (USER_CD, OPT_CD, ACCESS_TYPE, BRANCH_CODE, CLASS_CODE, ENT_BY, ENT_DATE, ENT_BY_IP)</v>
      </c>
      <c r="AP265" s="12" t="str">
        <f t="shared" si="140"/>
        <v>VALUES('08802750','TodaysRequest.aspx', 'USER', '01', '08', 'ABDUL', SYSDATE, '10.6.100.63');</v>
      </c>
    </row>
    <row r="266" spans="1:42" ht="78" thickBot="1" x14ac:dyDescent="0.3">
      <c r="A266" s="37"/>
      <c r="B266" s="37" t="s">
        <v>1228</v>
      </c>
      <c r="C266" s="37"/>
      <c r="D266" s="37"/>
      <c r="E266" s="37"/>
      <c r="F266" s="37"/>
      <c r="G266" s="37"/>
      <c r="H266" s="37"/>
      <c r="I266" s="37"/>
      <c r="J266" s="51" t="s">
        <v>1229</v>
      </c>
      <c r="K266" s="51" t="s">
        <v>1230</v>
      </c>
      <c r="L266" s="51" t="s">
        <v>1231</v>
      </c>
      <c r="M266" s="42" t="s">
        <v>1232</v>
      </c>
      <c r="N266" s="37"/>
      <c r="O266" s="37"/>
      <c r="P266" s="37"/>
      <c r="Q266" s="37"/>
      <c r="R266" s="37"/>
      <c r="S26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6" s="12" t="str">
        <f t="shared" si="142"/>
        <v>VALUES('08801940','NKC (SMC - PVT) LTD','Salaam@123','Y','N',sysdate,'016', 'C', 'Client', 'Muhammad Sumair','01','B', '08', 'ABDUL', sysdate, '10.6.100.63', '08801940');</v>
      </c>
      <c r="U266" s="12" t="str">
        <f t="shared" si="119"/>
        <v>INSERT INTO sy_user_branches (USER_CD, BRANCH_CODE, CLASS_CODE, ENT_BY, ENT_DATE, ENT_BY_IP)</v>
      </c>
      <c r="V266" s="12" t="str">
        <f t="shared" si="120"/>
        <v>values('08801940','01', '08', 'ABDUL', sysdate, '10.6.100.63');</v>
      </c>
      <c r="W266" s="12" t="str">
        <f t="shared" si="121"/>
        <v>INSERT INTO sy_perm_list (USER_CD, OPT_CD, ACCESS_TYPE, BRANCH_CODE, CLASS_CODE, ENT_BY, ENT_DATE, ENT_BY_IP)</v>
      </c>
      <c r="X266" s="12" t="str">
        <f t="shared" si="122"/>
        <v>VALUES('08801940','ClaimComments.aspx', 'USER', '01', '08', 'ABDUL', SYSDATE, '10.6.100.63');</v>
      </c>
      <c r="Y266" s="12" t="str">
        <f t="shared" si="123"/>
        <v>INSERT INTO sy_perm_list (USER_CD, OPT_CD, ACCESS_TYPE, BRANCH_CODE, CLASS_CODE, ENT_BY, ENT_DATE, ENT_BY_IP)</v>
      </c>
      <c r="Z266" s="12" t="str">
        <f t="shared" si="124"/>
        <v>VALUES('08801940','ClaimDocs.aspx', 'USER', '01', '08', 'ABDUL', SYSDATE, '10.6.100.63');</v>
      </c>
      <c r="AA266" s="12" t="str">
        <f t="shared" si="125"/>
        <v>INSERT INTO sy_perm_list (USER_CD, OPT_CD, ACCESS_TYPE, BRANCH_CODE, CLASS_CODE, ENT_BY, ENT_DATE, ENT_BY_IP)</v>
      </c>
      <c r="AB266" s="12" t="str">
        <f t="shared" si="126"/>
        <v>VALUES('08801940','Client.aspx', 'USER', '01', '08', 'ABDUL', SYSDATE, '10.6.100.63');</v>
      </c>
      <c r="AC266" s="12" t="str">
        <f t="shared" si="127"/>
        <v>INSERT INTO sy_perm_list (USER_CD, OPT_CD, ACCESS_TYPE, BRANCH_CODE, CLASS_CODE, ENT_BY, ENT_DATE, ENT_BY_IP)</v>
      </c>
      <c r="AD266" s="12" t="str">
        <f t="shared" si="128"/>
        <v>VALUES('08801940','ClientReports.aspx', 'USER', '01', '08', 'ABDUL', SYSDATE, '10.6.100.63');</v>
      </c>
      <c r="AE266" s="12" t="str">
        <f t="shared" si="129"/>
        <v>INSERT INTO sy_perm_list (USER_CD, OPT_CD, ACCESS_TYPE, BRANCH_CODE, CLASS_CODE, ENT_BY, ENT_DATE, ENT_BY_IP)</v>
      </c>
      <c r="AF266" s="12" t="str">
        <f t="shared" si="130"/>
        <v>VALUES('08801940','ClientRequests.aspx', 'USER', '01', '08', 'ABDUL', SYSDATE, '10.6.100.63');</v>
      </c>
      <c r="AG266" s="12" t="str">
        <f t="shared" si="131"/>
        <v>INSERT INTO sy_perm_list (USER_CD, OPT_CD, ACCESS_TYPE, BRANCH_CODE, CLASS_CODE, ENT_BY, ENT_DATE, ENT_BY_IP)</v>
      </c>
      <c r="AH266" s="12" t="str">
        <f t="shared" si="132"/>
        <v>VALUES('08801940','HealthLife.aspx', 'USER', '01', '08', 'ABDUL', SYSDATE, '10.6.100.63');</v>
      </c>
      <c r="AI266" s="12" t="str">
        <f t="shared" si="133"/>
        <v>INSERT INTO sy_perm_list (USER_CD, OPT_CD, ACCESS_TYPE, BRANCH_CODE, CLASS_CODE, ENT_BY, ENT_DATE, ENT_BY_IP)</v>
      </c>
      <c r="AJ266" s="12" t="str">
        <f t="shared" si="134"/>
        <v>VALUES('08801940','IpdClaim.aspx', 'USER', '01', '08', 'ABDUL', SYSDATE, '10.6.100.63');</v>
      </c>
      <c r="AK266" s="12" t="str">
        <f t="shared" si="135"/>
        <v>INSERT INTO sy_perm_list (USER_CD, OPT_CD, ACCESS_TYPE, BRANCH_CODE, CLASS_CODE, ENT_BY, ENT_DATE, ENT_BY_IP)</v>
      </c>
      <c r="AL266" s="12" t="str">
        <f t="shared" si="136"/>
        <v>VALUES('08801940','OpdClaim.aspx', 'USER', '01', '08', 'ABDUL', SYSDATE, '10.6.100.63');</v>
      </c>
      <c r="AM266" s="12" t="str">
        <f t="shared" si="137"/>
        <v>INSERT INTO sy_perm_list (USER_CD, OPT_CD, ACCESS_TYPE, BRANCH_CODE, CLASS_CODE, ENT_BY, ENT_DATE, ENT_BY_IP)</v>
      </c>
      <c r="AN266" s="12" t="str">
        <f t="shared" si="138"/>
        <v>VALUES('08801940','RequestDetails.aspx', 'USER', '01', '08', 'ABDUL', SYSDATE, '10.6.100.63');</v>
      </c>
      <c r="AO266" s="12" t="str">
        <f t="shared" si="139"/>
        <v>INSERT INTO sy_perm_list (USER_CD, OPT_CD, ACCESS_TYPE, BRANCH_CODE, CLASS_CODE, ENT_BY, ENT_DATE, ENT_BY_IP)</v>
      </c>
      <c r="AP266" s="12" t="str">
        <f t="shared" si="140"/>
        <v>VALUES('08801940','TodaysRequest.aspx', 'USER', '01', '08', 'ABDUL', SYSDATE, '10.6.100.63');</v>
      </c>
    </row>
    <row r="267" spans="1:42" ht="39" customHeight="1" thickBot="1" x14ac:dyDescent="0.3">
      <c r="A267" s="37"/>
      <c r="B267" s="37" t="s">
        <v>1233</v>
      </c>
      <c r="C267" s="37"/>
      <c r="D267" s="37"/>
      <c r="E267" s="37"/>
      <c r="F267" s="37"/>
      <c r="G267" s="37"/>
      <c r="H267" s="37"/>
      <c r="I267" s="37"/>
      <c r="J267" s="54" t="s">
        <v>1234</v>
      </c>
      <c r="K267" s="54" t="s">
        <v>1235</v>
      </c>
      <c r="L267" s="54" t="s">
        <v>1236</v>
      </c>
      <c r="M267" s="55" t="s">
        <v>1237</v>
      </c>
      <c r="N267" s="37"/>
      <c r="O267" s="37"/>
      <c r="P267" s="37"/>
      <c r="Q267" s="37"/>
      <c r="R267" s="37"/>
      <c r="S26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7" s="12" t="str">
        <f t="shared" si="142"/>
        <v>VALUES('08803254','Honda Drive-In','Salaam@123','Y','N',sysdate,'016', 'C', 'Client', 'Aadil Patel','01','B', '08', 'ABDUL', sysdate, '10.6.100.63', '08803254');</v>
      </c>
      <c r="U267" s="12" t="str">
        <f t="shared" si="119"/>
        <v>INSERT INTO sy_user_branches (USER_CD, BRANCH_CODE, CLASS_CODE, ENT_BY, ENT_DATE, ENT_BY_IP)</v>
      </c>
      <c r="V267" s="12" t="str">
        <f t="shared" si="120"/>
        <v>values('08803254','01', '08', 'ABDUL', sysdate, '10.6.100.63');</v>
      </c>
      <c r="W267" s="12" t="str">
        <f t="shared" si="121"/>
        <v>INSERT INTO sy_perm_list (USER_CD, OPT_CD, ACCESS_TYPE, BRANCH_CODE, CLASS_CODE, ENT_BY, ENT_DATE, ENT_BY_IP)</v>
      </c>
      <c r="X267" s="12" t="str">
        <f t="shared" si="122"/>
        <v>VALUES('08803254','ClaimComments.aspx', 'USER', '01', '08', 'ABDUL', SYSDATE, '10.6.100.63');</v>
      </c>
      <c r="Y267" s="12" t="str">
        <f t="shared" si="123"/>
        <v>INSERT INTO sy_perm_list (USER_CD, OPT_CD, ACCESS_TYPE, BRANCH_CODE, CLASS_CODE, ENT_BY, ENT_DATE, ENT_BY_IP)</v>
      </c>
      <c r="Z267" s="12" t="str">
        <f t="shared" si="124"/>
        <v>VALUES('08803254','ClaimDocs.aspx', 'USER', '01', '08', 'ABDUL', SYSDATE, '10.6.100.63');</v>
      </c>
      <c r="AA267" s="12" t="str">
        <f t="shared" si="125"/>
        <v>INSERT INTO sy_perm_list (USER_CD, OPT_CD, ACCESS_TYPE, BRANCH_CODE, CLASS_CODE, ENT_BY, ENT_DATE, ENT_BY_IP)</v>
      </c>
      <c r="AB267" s="12" t="str">
        <f t="shared" si="126"/>
        <v>VALUES('08803254','Client.aspx', 'USER', '01', '08', 'ABDUL', SYSDATE, '10.6.100.63');</v>
      </c>
      <c r="AC267" s="12" t="str">
        <f t="shared" si="127"/>
        <v>INSERT INTO sy_perm_list (USER_CD, OPT_CD, ACCESS_TYPE, BRANCH_CODE, CLASS_CODE, ENT_BY, ENT_DATE, ENT_BY_IP)</v>
      </c>
      <c r="AD267" s="12" t="str">
        <f t="shared" si="128"/>
        <v>VALUES('08803254','ClientReports.aspx', 'USER', '01', '08', 'ABDUL', SYSDATE, '10.6.100.63');</v>
      </c>
      <c r="AE267" s="12" t="str">
        <f t="shared" si="129"/>
        <v>INSERT INTO sy_perm_list (USER_CD, OPT_CD, ACCESS_TYPE, BRANCH_CODE, CLASS_CODE, ENT_BY, ENT_DATE, ENT_BY_IP)</v>
      </c>
      <c r="AF267" s="12" t="str">
        <f t="shared" si="130"/>
        <v>VALUES('08803254','ClientRequests.aspx', 'USER', '01', '08', 'ABDUL', SYSDATE, '10.6.100.63');</v>
      </c>
      <c r="AG267" s="12" t="str">
        <f t="shared" si="131"/>
        <v>INSERT INTO sy_perm_list (USER_CD, OPT_CD, ACCESS_TYPE, BRANCH_CODE, CLASS_CODE, ENT_BY, ENT_DATE, ENT_BY_IP)</v>
      </c>
      <c r="AH267" s="12" t="str">
        <f t="shared" si="132"/>
        <v>VALUES('08803254','HealthLife.aspx', 'USER', '01', '08', 'ABDUL', SYSDATE, '10.6.100.63');</v>
      </c>
      <c r="AI267" s="12" t="str">
        <f t="shared" si="133"/>
        <v>INSERT INTO sy_perm_list (USER_CD, OPT_CD, ACCESS_TYPE, BRANCH_CODE, CLASS_CODE, ENT_BY, ENT_DATE, ENT_BY_IP)</v>
      </c>
      <c r="AJ267" s="12" t="str">
        <f t="shared" si="134"/>
        <v>VALUES('08803254','IpdClaim.aspx', 'USER', '01', '08', 'ABDUL', SYSDATE, '10.6.100.63');</v>
      </c>
      <c r="AK267" s="12" t="str">
        <f t="shared" si="135"/>
        <v>INSERT INTO sy_perm_list (USER_CD, OPT_CD, ACCESS_TYPE, BRANCH_CODE, CLASS_CODE, ENT_BY, ENT_DATE, ENT_BY_IP)</v>
      </c>
      <c r="AL267" s="12" t="str">
        <f t="shared" si="136"/>
        <v>VALUES('08803254','OpdClaim.aspx', 'USER', '01', '08', 'ABDUL', SYSDATE, '10.6.100.63');</v>
      </c>
      <c r="AM267" s="12" t="str">
        <f t="shared" si="137"/>
        <v>INSERT INTO sy_perm_list (USER_CD, OPT_CD, ACCESS_TYPE, BRANCH_CODE, CLASS_CODE, ENT_BY, ENT_DATE, ENT_BY_IP)</v>
      </c>
      <c r="AN267" s="12" t="str">
        <f t="shared" si="138"/>
        <v>VALUES('08803254','RequestDetails.aspx', 'USER', '01', '08', 'ABDUL', SYSDATE, '10.6.100.63');</v>
      </c>
      <c r="AO267" s="12" t="str">
        <f t="shared" si="139"/>
        <v>INSERT INTO sy_perm_list (USER_CD, OPT_CD, ACCESS_TYPE, BRANCH_CODE, CLASS_CODE, ENT_BY, ENT_DATE, ENT_BY_IP)</v>
      </c>
      <c r="AP267" s="12" t="str">
        <f t="shared" si="140"/>
        <v>VALUES('08803254','TodaysRequest.aspx', 'USER', '01', '08', 'ABDUL', SYSDATE, '10.6.100.63');</v>
      </c>
    </row>
    <row r="268" spans="1:42" ht="78" thickBot="1" x14ac:dyDescent="0.3">
      <c r="A268" s="37"/>
      <c r="B268" s="37" t="s">
        <v>1238</v>
      </c>
      <c r="C268" s="37"/>
      <c r="D268" s="37"/>
      <c r="E268" s="37"/>
      <c r="F268" s="37"/>
      <c r="G268" s="37"/>
      <c r="H268" s="37"/>
      <c r="I268" s="37"/>
      <c r="J268" s="54" t="s">
        <v>1239</v>
      </c>
      <c r="K268" s="54" t="s">
        <v>1240</v>
      </c>
      <c r="L268" s="54" t="s">
        <v>1241</v>
      </c>
      <c r="M268" s="55" t="s">
        <v>1242</v>
      </c>
      <c r="N268" s="37"/>
      <c r="O268" s="37"/>
      <c r="P268" s="37"/>
      <c r="Q268" s="37"/>
      <c r="R268" s="37"/>
      <c r="S26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8" s="12" t="str">
        <f t="shared" si="142"/>
        <v>VALUES('08803253','Honda Quaideen','Salaam@123','Y','N',sysdate,'016', 'C', 'Client', 'Muhammad Raheel','01','B', '08', 'ABDUL', sysdate, '10.6.100.63', '08803253');</v>
      </c>
      <c r="U268" s="12" t="str">
        <f t="shared" si="119"/>
        <v>INSERT INTO sy_user_branches (USER_CD, BRANCH_CODE, CLASS_CODE, ENT_BY, ENT_DATE, ENT_BY_IP)</v>
      </c>
      <c r="V268" s="12" t="str">
        <f t="shared" si="120"/>
        <v>values('08803253','01', '08', 'ABDUL', sysdate, '10.6.100.63');</v>
      </c>
      <c r="W268" s="12" t="str">
        <f t="shared" si="121"/>
        <v>INSERT INTO sy_perm_list (USER_CD, OPT_CD, ACCESS_TYPE, BRANCH_CODE, CLASS_CODE, ENT_BY, ENT_DATE, ENT_BY_IP)</v>
      </c>
      <c r="X268" s="12" t="str">
        <f t="shared" si="122"/>
        <v>VALUES('08803253','ClaimComments.aspx', 'USER', '01', '08', 'ABDUL', SYSDATE, '10.6.100.63');</v>
      </c>
      <c r="Y268" s="12" t="str">
        <f t="shared" si="123"/>
        <v>INSERT INTO sy_perm_list (USER_CD, OPT_CD, ACCESS_TYPE, BRANCH_CODE, CLASS_CODE, ENT_BY, ENT_DATE, ENT_BY_IP)</v>
      </c>
      <c r="Z268" s="12" t="str">
        <f t="shared" si="124"/>
        <v>VALUES('08803253','ClaimDocs.aspx', 'USER', '01', '08', 'ABDUL', SYSDATE, '10.6.100.63');</v>
      </c>
      <c r="AA268" s="12" t="str">
        <f t="shared" si="125"/>
        <v>INSERT INTO sy_perm_list (USER_CD, OPT_CD, ACCESS_TYPE, BRANCH_CODE, CLASS_CODE, ENT_BY, ENT_DATE, ENT_BY_IP)</v>
      </c>
      <c r="AB268" s="12" t="str">
        <f t="shared" si="126"/>
        <v>VALUES('08803253','Client.aspx', 'USER', '01', '08', 'ABDUL', SYSDATE, '10.6.100.63');</v>
      </c>
      <c r="AC268" s="12" t="str">
        <f t="shared" si="127"/>
        <v>INSERT INTO sy_perm_list (USER_CD, OPT_CD, ACCESS_TYPE, BRANCH_CODE, CLASS_CODE, ENT_BY, ENT_DATE, ENT_BY_IP)</v>
      </c>
      <c r="AD268" s="12" t="str">
        <f t="shared" si="128"/>
        <v>VALUES('08803253','ClientReports.aspx', 'USER', '01', '08', 'ABDUL', SYSDATE, '10.6.100.63');</v>
      </c>
      <c r="AE268" s="12" t="str">
        <f t="shared" si="129"/>
        <v>INSERT INTO sy_perm_list (USER_CD, OPT_CD, ACCESS_TYPE, BRANCH_CODE, CLASS_CODE, ENT_BY, ENT_DATE, ENT_BY_IP)</v>
      </c>
      <c r="AF268" s="12" t="str">
        <f t="shared" si="130"/>
        <v>VALUES('08803253','ClientRequests.aspx', 'USER', '01', '08', 'ABDUL', SYSDATE, '10.6.100.63');</v>
      </c>
      <c r="AG268" s="12" t="str">
        <f t="shared" si="131"/>
        <v>INSERT INTO sy_perm_list (USER_CD, OPT_CD, ACCESS_TYPE, BRANCH_CODE, CLASS_CODE, ENT_BY, ENT_DATE, ENT_BY_IP)</v>
      </c>
      <c r="AH268" s="12" t="str">
        <f t="shared" si="132"/>
        <v>VALUES('08803253','HealthLife.aspx', 'USER', '01', '08', 'ABDUL', SYSDATE, '10.6.100.63');</v>
      </c>
      <c r="AI268" s="12" t="str">
        <f t="shared" si="133"/>
        <v>INSERT INTO sy_perm_list (USER_CD, OPT_CD, ACCESS_TYPE, BRANCH_CODE, CLASS_CODE, ENT_BY, ENT_DATE, ENT_BY_IP)</v>
      </c>
      <c r="AJ268" s="12" t="str">
        <f t="shared" si="134"/>
        <v>VALUES('08803253','IpdClaim.aspx', 'USER', '01', '08', 'ABDUL', SYSDATE, '10.6.100.63');</v>
      </c>
      <c r="AK268" s="12" t="str">
        <f t="shared" si="135"/>
        <v>INSERT INTO sy_perm_list (USER_CD, OPT_CD, ACCESS_TYPE, BRANCH_CODE, CLASS_CODE, ENT_BY, ENT_DATE, ENT_BY_IP)</v>
      </c>
      <c r="AL268" s="12" t="str">
        <f t="shared" si="136"/>
        <v>VALUES('08803253','OpdClaim.aspx', 'USER', '01', '08', 'ABDUL', SYSDATE, '10.6.100.63');</v>
      </c>
      <c r="AM268" s="12" t="str">
        <f t="shared" si="137"/>
        <v>INSERT INTO sy_perm_list (USER_CD, OPT_CD, ACCESS_TYPE, BRANCH_CODE, CLASS_CODE, ENT_BY, ENT_DATE, ENT_BY_IP)</v>
      </c>
      <c r="AN268" s="12" t="str">
        <f t="shared" si="138"/>
        <v>VALUES('08803253','RequestDetails.aspx', 'USER', '01', '08', 'ABDUL', SYSDATE, '10.6.100.63');</v>
      </c>
      <c r="AO268" s="12" t="str">
        <f t="shared" si="139"/>
        <v>INSERT INTO sy_perm_list (USER_CD, OPT_CD, ACCESS_TYPE, BRANCH_CODE, CLASS_CODE, ENT_BY, ENT_DATE, ENT_BY_IP)</v>
      </c>
      <c r="AP268" s="12" t="str">
        <f t="shared" si="140"/>
        <v>VALUES('08803253','TodaysRequest.aspx', 'USER', '01', '08', 'ABDUL', SYSDATE, '10.6.100.63');</v>
      </c>
    </row>
    <row r="269" spans="1:42" ht="78" thickBot="1" x14ac:dyDescent="0.3">
      <c r="A269" s="37"/>
      <c r="B269" s="37" t="s">
        <v>1243</v>
      </c>
      <c r="C269" s="37"/>
      <c r="D269" s="37"/>
      <c r="E269" s="37"/>
      <c r="F269" s="37"/>
      <c r="G269" s="37"/>
      <c r="H269" s="37"/>
      <c r="I269" s="37"/>
      <c r="J269" s="37" t="s">
        <v>1244</v>
      </c>
      <c r="K269" s="37" t="s">
        <v>1245</v>
      </c>
      <c r="L269" s="54" t="s">
        <v>1246</v>
      </c>
      <c r="M269" s="67" t="s">
        <v>1247</v>
      </c>
      <c r="N269" s="37"/>
      <c r="O269" s="37"/>
      <c r="P269" s="37"/>
      <c r="Q269" s="37"/>
      <c r="R269" s="37"/>
      <c r="S26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69" s="12" t="str">
        <f t="shared" si="142"/>
        <v>VALUES('08803304','Mazars Consulting Pakistan (Private) Limited','Salaam@123','Y','N',sysdate,'016', 'C', 'Client', 'Manoj Kumar','01','B', '08', 'ABDUL', sysdate, '10.6.100.63', '08803304');</v>
      </c>
      <c r="U269" s="12" t="str">
        <f t="shared" si="119"/>
        <v>INSERT INTO sy_user_branches (USER_CD, BRANCH_CODE, CLASS_CODE, ENT_BY, ENT_DATE, ENT_BY_IP)</v>
      </c>
      <c r="V269" s="12" t="str">
        <f t="shared" si="120"/>
        <v>values('08803304','01', '08', 'ABDUL', sysdate, '10.6.100.63');</v>
      </c>
      <c r="W269" s="12" t="str">
        <f t="shared" si="121"/>
        <v>INSERT INTO sy_perm_list (USER_CD, OPT_CD, ACCESS_TYPE, BRANCH_CODE, CLASS_CODE, ENT_BY, ENT_DATE, ENT_BY_IP)</v>
      </c>
      <c r="X269" s="12" t="str">
        <f t="shared" si="122"/>
        <v>VALUES('08803304','ClaimComments.aspx', 'USER', '01', '08', 'ABDUL', SYSDATE, '10.6.100.63');</v>
      </c>
      <c r="Y269" s="12" t="str">
        <f t="shared" si="123"/>
        <v>INSERT INTO sy_perm_list (USER_CD, OPT_CD, ACCESS_TYPE, BRANCH_CODE, CLASS_CODE, ENT_BY, ENT_DATE, ENT_BY_IP)</v>
      </c>
      <c r="Z269" s="12" t="str">
        <f t="shared" si="124"/>
        <v>VALUES('08803304','ClaimDocs.aspx', 'USER', '01', '08', 'ABDUL', SYSDATE, '10.6.100.63');</v>
      </c>
      <c r="AA269" s="12" t="str">
        <f t="shared" si="125"/>
        <v>INSERT INTO sy_perm_list (USER_CD, OPT_CD, ACCESS_TYPE, BRANCH_CODE, CLASS_CODE, ENT_BY, ENT_DATE, ENT_BY_IP)</v>
      </c>
      <c r="AB269" s="12" t="str">
        <f t="shared" si="126"/>
        <v>VALUES('08803304','Client.aspx', 'USER', '01', '08', 'ABDUL', SYSDATE, '10.6.100.63');</v>
      </c>
      <c r="AC269" s="12" t="str">
        <f t="shared" si="127"/>
        <v>INSERT INTO sy_perm_list (USER_CD, OPT_CD, ACCESS_TYPE, BRANCH_CODE, CLASS_CODE, ENT_BY, ENT_DATE, ENT_BY_IP)</v>
      </c>
      <c r="AD269" s="12" t="str">
        <f t="shared" si="128"/>
        <v>VALUES('08803304','ClientReports.aspx', 'USER', '01', '08', 'ABDUL', SYSDATE, '10.6.100.63');</v>
      </c>
      <c r="AE269" s="12" t="str">
        <f t="shared" si="129"/>
        <v>INSERT INTO sy_perm_list (USER_CD, OPT_CD, ACCESS_TYPE, BRANCH_CODE, CLASS_CODE, ENT_BY, ENT_DATE, ENT_BY_IP)</v>
      </c>
      <c r="AF269" s="12" t="str">
        <f t="shared" si="130"/>
        <v>VALUES('08803304','ClientRequests.aspx', 'USER', '01', '08', 'ABDUL', SYSDATE, '10.6.100.63');</v>
      </c>
      <c r="AG269" s="12" t="str">
        <f t="shared" si="131"/>
        <v>INSERT INTO sy_perm_list (USER_CD, OPT_CD, ACCESS_TYPE, BRANCH_CODE, CLASS_CODE, ENT_BY, ENT_DATE, ENT_BY_IP)</v>
      </c>
      <c r="AH269" s="12" t="str">
        <f t="shared" si="132"/>
        <v>VALUES('08803304','HealthLife.aspx', 'USER', '01', '08', 'ABDUL', SYSDATE, '10.6.100.63');</v>
      </c>
      <c r="AI269" s="12" t="str">
        <f t="shared" si="133"/>
        <v>INSERT INTO sy_perm_list (USER_CD, OPT_CD, ACCESS_TYPE, BRANCH_CODE, CLASS_CODE, ENT_BY, ENT_DATE, ENT_BY_IP)</v>
      </c>
      <c r="AJ269" s="12" t="str">
        <f t="shared" si="134"/>
        <v>VALUES('08803304','IpdClaim.aspx', 'USER', '01', '08', 'ABDUL', SYSDATE, '10.6.100.63');</v>
      </c>
      <c r="AK269" s="12" t="str">
        <f t="shared" si="135"/>
        <v>INSERT INTO sy_perm_list (USER_CD, OPT_CD, ACCESS_TYPE, BRANCH_CODE, CLASS_CODE, ENT_BY, ENT_DATE, ENT_BY_IP)</v>
      </c>
      <c r="AL269" s="12" t="str">
        <f t="shared" si="136"/>
        <v>VALUES('08803304','OpdClaim.aspx', 'USER', '01', '08', 'ABDUL', SYSDATE, '10.6.100.63');</v>
      </c>
      <c r="AM269" s="12" t="str">
        <f t="shared" si="137"/>
        <v>INSERT INTO sy_perm_list (USER_CD, OPT_CD, ACCESS_TYPE, BRANCH_CODE, CLASS_CODE, ENT_BY, ENT_DATE, ENT_BY_IP)</v>
      </c>
      <c r="AN269" s="12" t="str">
        <f t="shared" si="138"/>
        <v>VALUES('08803304','RequestDetails.aspx', 'USER', '01', '08', 'ABDUL', SYSDATE, '10.6.100.63');</v>
      </c>
      <c r="AO269" s="12" t="str">
        <f t="shared" si="139"/>
        <v>INSERT INTO sy_perm_list (USER_CD, OPT_CD, ACCESS_TYPE, BRANCH_CODE, CLASS_CODE, ENT_BY, ENT_DATE, ENT_BY_IP)</v>
      </c>
      <c r="AP269" s="12" t="str">
        <f t="shared" si="140"/>
        <v>VALUES('08803304','TodaysRequest.aspx', 'USER', '01', '08', 'ABDUL', SYSDATE, '10.6.100.63');</v>
      </c>
    </row>
    <row r="270" spans="1:42" ht="78" thickBot="1" x14ac:dyDescent="0.3">
      <c r="A270" s="37"/>
      <c r="B270" s="37" t="s">
        <v>1250</v>
      </c>
      <c r="C270" s="37"/>
      <c r="D270" s="37"/>
      <c r="E270" s="37"/>
      <c r="F270" s="37"/>
      <c r="G270" s="37"/>
      <c r="H270" s="37"/>
      <c r="I270" s="37"/>
      <c r="J270" s="54" t="s">
        <v>1251</v>
      </c>
      <c r="K270" s="54" t="s">
        <v>1252</v>
      </c>
      <c r="L270" s="54" t="s">
        <v>1253</v>
      </c>
      <c r="M270" s="55" t="s">
        <v>1254</v>
      </c>
      <c r="N270" s="37"/>
      <c r="O270" s="37"/>
      <c r="P270" s="37"/>
      <c r="Q270" s="37"/>
      <c r="R270" s="37"/>
      <c r="S27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0" s="12" t="str">
        <f t="shared" si="142"/>
        <v>VALUES('08803457','Shamsi Health Foundation','Salaam@123','Y','N',sysdate,'016', 'C', 'Client', 'Anas Raja Shamsi','01','B', '08', 'ABDUL', sysdate, '10.6.100.63', '08803457');</v>
      </c>
      <c r="U270" s="12" t="str">
        <f t="shared" si="119"/>
        <v>INSERT INTO sy_user_branches (USER_CD, BRANCH_CODE, CLASS_CODE, ENT_BY, ENT_DATE, ENT_BY_IP)</v>
      </c>
      <c r="V270" s="12" t="str">
        <f t="shared" si="120"/>
        <v>values('08803457','01', '08', 'ABDUL', sysdate, '10.6.100.63');</v>
      </c>
      <c r="W270" s="12" t="str">
        <f t="shared" si="121"/>
        <v>INSERT INTO sy_perm_list (USER_CD, OPT_CD, ACCESS_TYPE, BRANCH_CODE, CLASS_CODE, ENT_BY, ENT_DATE, ENT_BY_IP)</v>
      </c>
      <c r="X270" s="12" t="str">
        <f t="shared" si="122"/>
        <v>VALUES('08803457','ClaimComments.aspx', 'USER', '01', '08', 'ABDUL', SYSDATE, '10.6.100.63');</v>
      </c>
      <c r="Y270" s="12" t="str">
        <f t="shared" si="123"/>
        <v>INSERT INTO sy_perm_list (USER_CD, OPT_CD, ACCESS_TYPE, BRANCH_CODE, CLASS_CODE, ENT_BY, ENT_DATE, ENT_BY_IP)</v>
      </c>
      <c r="Z270" s="12" t="str">
        <f t="shared" si="124"/>
        <v>VALUES('08803457','ClaimDocs.aspx', 'USER', '01', '08', 'ABDUL', SYSDATE, '10.6.100.63');</v>
      </c>
      <c r="AA270" s="12" t="str">
        <f t="shared" si="125"/>
        <v>INSERT INTO sy_perm_list (USER_CD, OPT_CD, ACCESS_TYPE, BRANCH_CODE, CLASS_CODE, ENT_BY, ENT_DATE, ENT_BY_IP)</v>
      </c>
      <c r="AB270" s="12" t="str">
        <f t="shared" si="126"/>
        <v>VALUES('08803457','Client.aspx', 'USER', '01', '08', 'ABDUL', SYSDATE, '10.6.100.63');</v>
      </c>
      <c r="AC270" s="12" t="str">
        <f t="shared" si="127"/>
        <v>INSERT INTO sy_perm_list (USER_CD, OPT_CD, ACCESS_TYPE, BRANCH_CODE, CLASS_CODE, ENT_BY, ENT_DATE, ENT_BY_IP)</v>
      </c>
      <c r="AD270" s="12" t="str">
        <f t="shared" si="128"/>
        <v>VALUES('08803457','ClientReports.aspx', 'USER', '01', '08', 'ABDUL', SYSDATE, '10.6.100.63');</v>
      </c>
      <c r="AE270" s="12" t="str">
        <f t="shared" si="129"/>
        <v>INSERT INTO sy_perm_list (USER_CD, OPT_CD, ACCESS_TYPE, BRANCH_CODE, CLASS_CODE, ENT_BY, ENT_DATE, ENT_BY_IP)</v>
      </c>
      <c r="AF270" s="12" t="str">
        <f t="shared" si="130"/>
        <v>VALUES('08803457','ClientRequests.aspx', 'USER', '01', '08', 'ABDUL', SYSDATE, '10.6.100.63');</v>
      </c>
      <c r="AG270" s="12" t="str">
        <f t="shared" si="131"/>
        <v>INSERT INTO sy_perm_list (USER_CD, OPT_CD, ACCESS_TYPE, BRANCH_CODE, CLASS_CODE, ENT_BY, ENT_DATE, ENT_BY_IP)</v>
      </c>
      <c r="AH270" s="12" t="str">
        <f t="shared" si="132"/>
        <v>VALUES('08803457','HealthLife.aspx', 'USER', '01', '08', 'ABDUL', SYSDATE, '10.6.100.63');</v>
      </c>
      <c r="AI270" s="12" t="str">
        <f t="shared" si="133"/>
        <v>INSERT INTO sy_perm_list (USER_CD, OPT_CD, ACCESS_TYPE, BRANCH_CODE, CLASS_CODE, ENT_BY, ENT_DATE, ENT_BY_IP)</v>
      </c>
      <c r="AJ270" s="12" t="str">
        <f t="shared" si="134"/>
        <v>VALUES('08803457','IpdClaim.aspx', 'USER', '01', '08', 'ABDUL', SYSDATE, '10.6.100.63');</v>
      </c>
      <c r="AK270" s="12" t="str">
        <f t="shared" si="135"/>
        <v>INSERT INTO sy_perm_list (USER_CD, OPT_CD, ACCESS_TYPE, BRANCH_CODE, CLASS_CODE, ENT_BY, ENT_DATE, ENT_BY_IP)</v>
      </c>
      <c r="AL270" s="12" t="str">
        <f t="shared" si="136"/>
        <v>VALUES('08803457','OpdClaim.aspx', 'USER', '01', '08', 'ABDUL', SYSDATE, '10.6.100.63');</v>
      </c>
      <c r="AM270" s="12" t="str">
        <f t="shared" si="137"/>
        <v>INSERT INTO sy_perm_list (USER_CD, OPT_CD, ACCESS_TYPE, BRANCH_CODE, CLASS_CODE, ENT_BY, ENT_DATE, ENT_BY_IP)</v>
      </c>
      <c r="AN270" s="12" t="str">
        <f t="shared" si="138"/>
        <v>VALUES('08803457','RequestDetails.aspx', 'USER', '01', '08', 'ABDUL', SYSDATE, '10.6.100.63');</v>
      </c>
      <c r="AO270" s="12" t="str">
        <f t="shared" si="139"/>
        <v>INSERT INTO sy_perm_list (USER_CD, OPT_CD, ACCESS_TYPE, BRANCH_CODE, CLASS_CODE, ENT_BY, ENT_DATE, ENT_BY_IP)</v>
      </c>
      <c r="AP270" s="12" t="str">
        <f t="shared" si="140"/>
        <v>VALUES('08803457','TodaysRequest.aspx', 'USER', '01', '08', 'ABDUL', SYSDATE, '10.6.100.63');</v>
      </c>
    </row>
    <row r="271" spans="1:42" ht="78" thickBot="1" x14ac:dyDescent="0.3">
      <c r="A271" s="37"/>
      <c r="B271" s="37" t="s">
        <v>1255</v>
      </c>
      <c r="C271" s="37"/>
      <c r="D271" s="37"/>
      <c r="E271" s="37"/>
      <c r="F271" s="37"/>
      <c r="G271" s="37"/>
      <c r="H271" s="37"/>
      <c r="I271" s="37"/>
      <c r="J271" s="54" t="s">
        <v>1256</v>
      </c>
      <c r="K271" s="54" t="s">
        <v>1257</v>
      </c>
      <c r="L271" s="54" t="s">
        <v>1258</v>
      </c>
      <c r="M271" s="70" t="s">
        <v>1259</v>
      </c>
      <c r="N271" s="37"/>
      <c r="O271" s="37"/>
      <c r="P271" s="37"/>
      <c r="Q271" s="37"/>
      <c r="R271" s="37"/>
      <c r="S27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1" s="12" t="str">
        <f t="shared" si="142"/>
        <v>VALUES('08803432','CHEMI EQUIP SOLUTIONS','Salaam@123','Y','N',sysdate,'016', 'C', 'Client', 'Hanif Ansari','01','B', '08', 'ABDUL', sysdate, '10.6.100.63', '08803432');</v>
      </c>
      <c r="U271" s="12" t="str">
        <f t="shared" si="119"/>
        <v>INSERT INTO sy_user_branches (USER_CD, BRANCH_CODE, CLASS_CODE, ENT_BY, ENT_DATE, ENT_BY_IP)</v>
      </c>
      <c r="V271" s="12" t="str">
        <f t="shared" si="120"/>
        <v>values('08803432','01', '08', 'ABDUL', sysdate, '10.6.100.63');</v>
      </c>
      <c r="W271" s="12" t="str">
        <f t="shared" si="121"/>
        <v>INSERT INTO sy_perm_list (USER_CD, OPT_CD, ACCESS_TYPE, BRANCH_CODE, CLASS_CODE, ENT_BY, ENT_DATE, ENT_BY_IP)</v>
      </c>
      <c r="X271" s="12" t="str">
        <f t="shared" si="122"/>
        <v>VALUES('08803432','ClaimComments.aspx', 'USER', '01', '08', 'ABDUL', SYSDATE, '10.6.100.63');</v>
      </c>
      <c r="Y271" s="12" t="str">
        <f t="shared" si="123"/>
        <v>INSERT INTO sy_perm_list (USER_CD, OPT_CD, ACCESS_TYPE, BRANCH_CODE, CLASS_CODE, ENT_BY, ENT_DATE, ENT_BY_IP)</v>
      </c>
      <c r="Z271" s="12" t="str">
        <f t="shared" si="124"/>
        <v>VALUES('08803432','ClaimDocs.aspx', 'USER', '01', '08', 'ABDUL', SYSDATE, '10.6.100.63');</v>
      </c>
      <c r="AA271" s="12" t="str">
        <f t="shared" si="125"/>
        <v>INSERT INTO sy_perm_list (USER_CD, OPT_CD, ACCESS_TYPE, BRANCH_CODE, CLASS_CODE, ENT_BY, ENT_DATE, ENT_BY_IP)</v>
      </c>
      <c r="AB271" s="12" t="str">
        <f t="shared" si="126"/>
        <v>VALUES('08803432','Client.aspx', 'USER', '01', '08', 'ABDUL', SYSDATE, '10.6.100.63');</v>
      </c>
      <c r="AC271" s="12" t="str">
        <f t="shared" si="127"/>
        <v>INSERT INTO sy_perm_list (USER_CD, OPT_CD, ACCESS_TYPE, BRANCH_CODE, CLASS_CODE, ENT_BY, ENT_DATE, ENT_BY_IP)</v>
      </c>
      <c r="AD271" s="12" t="str">
        <f t="shared" si="128"/>
        <v>VALUES('08803432','ClientReports.aspx', 'USER', '01', '08', 'ABDUL', SYSDATE, '10.6.100.63');</v>
      </c>
      <c r="AE271" s="12" t="str">
        <f t="shared" si="129"/>
        <v>INSERT INTO sy_perm_list (USER_CD, OPT_CD, ACCESS_TYPE, BRANCH_CODE, CLASS_CODE, ENT_BY, ENT_DATE, ENT_BY_IP)</v>
      </c>
      <c r="AF271" s="12" t="str">
        <f t="shared" si="130"/>
        <v>VALUES('08803432','ClientRequests.aspx', 'USER', '01', '08', 'ABDUL', SYSDATE, '10.6.100.63');</v>
      </c>
      <c r="AG271" s="12" t="str">
        <f t="shared" si="131"/>
        <v>INSERT INTO sy_perm_list (USER_CD, OPT_CD, ACCESS_TYPE, BRANCH_CODE, CLASS_CODE, ENT_BY, ENT_DATE, ENT_BY_IP)</v>
      </c>
      <c r="AH271" s="12" t="str">
        <f t="shared" si="132"/>
        <v>VALUES('08803432','HealthLife.aspx', 'USER', '01', '08', 'ABDUL', SYSDATE, '10.6.100.63');</v>
      </c>
      <c r="AI271" s="12" t="str">
        <f t="shared" si="133"/>
        <v>INSERT INTO sy_perm_list (USER_CD, OPT_CD, ACCESS_TYPE, BRANCH_CODE, CLASS_CODE, ENT_BY, ENT_DATE, ENT_BY_IP)</v>
      </c>
      <c r="AJ271" s="12" t="str">
        <f t="shared" si="134"/>
        <v>VALUES('08803432','IpdClaim.aspx', 'USER', '01', '08', 'ABDUL', SYSDATE, '10.6.100.63');</v>
      </c>
      <c r="AK271" s="12" t="str">
        <f t="shared" si="135"/>
        <v>INSERT INTO sy_perm_list (USER_CD, OPT_CD, ACCESS_TYPE, BRANCH_CODE, CLASS_CODE, ENT_BY, ENT_DATE, ENT_BY_IP)</v>
      </c>
      <c r="AL271" s="12" t="str">
        <f t="shared" si="136"/>
        <v>VALUES('08803432','OpdClaim.aspx', 'USER', '01', '08', 'ABDUL', SYSDATE, '10.6.100.63');</v>
      </c>
      <c r="AM271" s="12" t="str">
        <f t="shared" si="137"/>
        <v>INSERT INTO sy_perm_list (USER_CD, OPT_CD, ACCESS_TYPE, BRANCH_CODE, CLASS_CODE, ENT_BY, ENT_DATE, ENT_BY_IP)</v>
      </c>
      <c r="AN271" s="12" t="str">
        <f t="shared" si="138"/>
        <v>VALUES('08803432','RequestDetails.aspx', 'USER', '01', '08', 'ABDUL', SYSDATE, '10.6.100.63');</v>
      </c>
      <c r="AO271" s="12" t="str">
        <f t="shared" si="139"/>
        <v>INSERT INTO sy_perm_list (USER_CD, OPT_CD, ACCESS_TYPE, BRANCH_CODE, CLASS_CODE, ENT_BY, ENT_DATE, ENT_BY_IP)</v>
      </c>
      <c r="AP271" s="12" t="str">
        <f t="shared" si="140"/>
        <v>VALUES('08803432','TodaysRequest.aspx', 'USER', '01', '08', 'ABDUL', SYSDATE, '10.6.100.63');</v>
      </c>
    </row>
    <row r="272" spans="1:42" ht="78" thickBot="1" x14ac:dyDescent="0.3">
      <c r="A272" s="37"/>
      <c r="B272" s="37" t="s">
        <v>1260</v>
      </c>
      <c r="C272" s="37"/>
      <c r="D272" s="37"/>
      <c r="E272" s="37"/>
      <c r="F272" s="37"/>
      <c r="G272" s="37"/>
      <c r="H272" s="37"/>
      <c r="I272" s="37"/>
      <c r="J272" s="46" t="s">
        <v>1261</v>
      </c>
      <c r="K272" s="46">
        <v>8002247</v>
      </c>
      <c r="L272" s="71" t="s">
        <v>1263</v>
      </c>
      <c r="M272" s="72" t="s">
        <v>1264</v>
      </c>
      <c r="N272" s="37"/>
      <c r="O272" s="37"/>
      <c r="P272" s="37"/>
      <c r="Q272" s="37"/>
      <c r="R272" s="37"/>
      <c r="S27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2" s="12" t="str">
        <f t="shared" si="142"/>
        <v>VALUES('08802619','8002247','Salaam@123','Y','N',sysdate,'016', 'C', 'Client', 'Shirin Minwalla','01','B', '08', 'ABDUL', sysdate, '10.6.100.63', '08802619');</v>
      </c>
      <c r="U272" s="12" t="str">
        <f t="shared" si="119"/>
        <v>INSERT INTO sy_user_branches (USER_CD, BRANCH_CODE, CLASS_CODE, ENT_BY, ENT_DATE, ENT_BY_IP)</v>
      </c>
      <c r="V272" s="12" t="str">
        <f t="shared" si="120"/>
        <v>values('08802619','01', '08', 'ABDUL', sysdate, '10.6.100.63');</v>
      </c>
      <c r="W272" s="12" t="str">
        <f t="shared" si="121"/>
        <v>INSERT INTO sy_perm_list (USER_CD, OPT_CD, ACCESS_TYPE, BRANCH_CODE, CLASS_CODE, ENT_BY, ENT_DATE, ENT_BY_IP)</v>
      </c>
      <c r="X272" s="12" t="str">
        <f t="shared" si="122"/>
        <v>VALUES('08802619','ClaimComments.aspx', 'USER', '01', '08', 'ABDUL', SYSDATE, '10.6.100.63');</v>
      </c>
      <c r="Y272" s="12" t="str">
        <f t="shared" si="123"/>
        <v>INSERT INTO sy_perm_list (USER_CD, OPT_CD, ACCESS_TYPE, BRANCH_CODE, CLASS_CODE, ENT_BY, ENT_DATE, ENT_BY_IP)</v>
      </c>
      <c r="Z272" s="12" t="str">
        <f t="shared" si="124"/>
        <v>VALUES('08802619','ClaimDocs.aspx', 'USER', '01', '08', 'ABDUL', SYSDATE, '10.6.100.63');</v>
      </c>
      <c r="AA272" s="12" t="str">
        <f t="shared" si="125"/>
        <v>INSERT INTO sy_perm_list (USER_CD, OPT_CD, ACCESS_TYPE, BRANCH_CODE, CLASS_CODE, ENT_BY, ENT_DATE, ENT_BY_IP)</v>
      </c>
      <c r="AB272" s="12" t="str">
        <f t="shared" si="126"/>
        <v>VALUES('08802619','Client.aspx', 'USER', '01', '08', 'ABDUL', SYSDATE, '10.6.100.63');</v>
      </c>
      <c r="AC272" s="12" t="str">
        <f t="shared" si="127"/>
        <v>INSERT INTO sy_perm_list (USER_CD, OPT_CD, ACCESS_TYPE, BRANCH_CODE, CLASS_CODE, ENT_BY, ENT_DATE, ENT_BY_IP)</v>
      </c>
      <c r="AD272" s="12" t="str">
        <f t="shared" si="128"/>
        <v>VALUES('08802619','ClientReports.aspx', 'USER', '01', '08', 'ABDUL', SYSDATE, '10.6.100.63');</v>
      </c>
      <c r="AE272" s="12" t="str">
        <f t="shared" si="129"/>
        <v>INSERT INTO sy_perm_list (USER_CD, OPT_CD, ACCESS_TYPE, BRANCH_CODE, CLASS_CODE, ENT_BY, ENT_DATE, ENT_BY_IP)</v>
      </c>
      <c r="AF272" s="12" t="str">
        <f t="shared" si="130"/>
        <v>VALUES('08802619','ClientRequests.aspx', 'USER', '01', '08', 'ABDUL', SYSDATE, '10.6.100.63');</v>
      </c>
      <c r="AG272" s="12" t="str">
        <f t="shared" si="131"/>
        <v>INSERT INTO sy_perm_list (USER_CD, OPT_CD, ACCESS_TYPE, BRANCH_CODE, CLASS_CODE, ENT_BY, ENT_DATE, ENT_BY_IP)</v>
      </c>
      <c r="AH272" s="12" t="str">
        <f t="shared" si="132"/>
        <v>VALUES('08802619','HealthLife.aspx', 'USER', '01', '08', 'ABDUL', SYSDATE, '10.6.100.63');</v>
      </c>
      <c r="AI272" s="12" t="str">
        <f t="shared" si="133"/>
        <v>INSERT INTO sy_perm_list (USER_CD, OPT_CD, ACCESS_TYPE, BRANCH_CODE, CLASS_CODE, ENT_BY, ENT_DATE, ENT_BY_IP)</v>
      </c>
      <c r="AJ272" s="12" t="str">
        <f t="shared" si="134"/>
        <v>VALUES('08802619','IpdClaim.aspx', 'USER', '01', '08', 'ABDUL', SYSDATE, '10.6.100.63');</v>
      </c>
      <c r="AK272" s="12" t="str">
        <f t="shared" si="135"/>
        <v>INSERT INTO sy_perm_list (USER_CD, OPT_CD, ACCESS_TYPE, BRANCH_CODE, CLASS_CODE, ENT_BY, ENT_DATE, ENT_BY_IP)</v>
      </c>
      <c r="AL272" s="12" t="str">
        <f t="shared" si="136"/>
        <v>VALUES('08802619','OpdClaim.aspx', 'USER', '01', '08', 'ABDUL', SYSDATE, '10.6.100.63');</v>
      </c>
      <c r="AM272" s="12" t="str">
        <f t="shared" si="137"/>
        <v>INSERT INTO sy_perm_list (USER_CD, OPT_CD, ACCESS_TYPE, BRANCH_CODE, CLASS_CODE, ENT_BY, ENT_DATE, ENT_BY_IP)</v>
      </c>
      <c r="AN272" s="12" t="str">
        <f t="shared" si="138"/>
        <v>VALUES('08802619','RequestDetails.aspx', 'USER', '01', '08', 'ABDUL', SYSDATE, '10.6.100.63');</v>
      </c>
      <c r="AO272" s="12" t="str">
        <f t="shared" si="139"/>
        <v>INSERT INTO sy_perm_list (USER_CD, OPT_CD, ACCESS_TYPE, BRANCH_CODE, CLASS_CODE, ENT_BY, ENT_DATE, ENT_BY_IP)</v>
      </c>
      <c r="AP272" s="12" t="str">
        <f t="shared" si="140"/>
        <v>VALUES('08802619','TodaysRequest.aspx', 'USER', '01', '08', 'ABDUL', SYSDATE, '10.6.100.63');</v>
      </c>
    </row>
    <row r="273" spans="1:42" ht="78" thickBot="1" x14ac:dyDescent="0.3">
      <c r="A273" s="37"/>
      <c r="B273" s="37" t="s">
        <v>1265</v>
      </c>
      <c r="C273" s="37"/>
      <c r="D273" s="37"/>
      <c r="E273" s="37"/>
      <c r="F273" s="37"/>
      <c r="G273" s="37"/>
      <c r="H273" s="37"/>
      <c r="I273" s="37"/>
      <c r="J273" s="46" t="s">
        <v>1266</v>
      </c>
      <c r="K273" s="46" t="s">
        <v>1262</v>
      </c>
      <c r="L273" s="73" t="s">
        <v>1267</v>
      </c>
      <c r="M273" s="72" t="s">
        <v>1268</v>
      </c>
      <c r="N273" s="37"/>
      <c r="O273" s="37"/>
      <c r="P273" s="37"/>
      <c r="Q273" s="37"/>
      <c r="R273" s="37"/>
      <c r="S27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3" s="12" t="str">
        <f t="shared" si="142"/>
        <v>VALUES('08803201','TRUCK IT IN (PRIVATE) LIMITED','Salaam@123','Y','N',sysdate,'016', 'C', 'Client', 'Haris Javed','01','B', '08', 'ABDUL', sysdate, '10.6.100.63', '08803201');</v>
      </c>
      <c r="U273" s="12" t="str">
        <f t="shared" si="119"/>
        <v>INSERT INTO sy_user_branches (USER_CD, BRANCH_CODE, CLASS_CODE, ENT_BY, ENT_DATE, ENT_BY_IP)</v>
      </c>
      <c r="V273" s="12" t="str">
        <f t="shared" si="120"/>
        <v>values('08803201','01', '08', 'ABDUL', sysdate, '10.6.100.63');</v>
      </c>
      <c r="W273" s="12" t="str">
        <f t="shared" si="121"/>
        <v>INSERT INTO sy_perm_list (USER_CD, OPT_CD, ACCESS_TYPE, BRANCH_CODE, CLASS_CODE, ENT_BY, ENT_DATE, ENT_BY_IP)</v>
      </c>
      <c r="X273" s="12" t="str">
        <f t="shared" si="122"/>
        <v>VALUES('08803201','ClaimComments.aspx', 'USER', '01', '08', 'ABDUL', SYSDATE, '10.6.100.63');</v>
      </c>
      <c r="Y273" s="12" t="str">
        <f t="shared" si="123"/>
        <v>INSERT INTO sy_perm_list (USER_CD, OPT_CD, ACCESS_TYPE, BRANCH_CODE, CLASS_CODE, ENT_BY, ENT_DATE, ENT_BY_IP)</v>
      </c>
      <c r="Z273" s="12" t="str">
        <f t="shared" si="124"/>
        <v>VALUES('08803201','ClaimDocs.aspx', 'USER', '01', '08', 'ABDUL', SYSDATE, '10.6.100.63');</v>
      </c>
      <c r="AA273" s="12" t="str">
        <f t="shared" si="125"/>
        <v>INSERT INTO sy_perm_list (USER_CD, OPT_CD, ACCESS_TYPE, BRANCH_CODE, CLASS_CODE, ENT_BY, ENT_DATE, ENT_BY_IP)</v>
      </c>
      <c r="AB273" s="12" t="str">
        <f t="shared" si="126"/>
        <v>VALUES('08803201','Client.aspx', 'USER', '01', '08', 'ABDUL', SYSDATE, '10.6.100.63');</v>
      </c>
      <c r="AC273" s="12" t="str">
        <f t="shared" si="127"/>
        <v>INSERT INTO sy_perm_list (USER_CD, OPT_CD, ACCESS_TYPE, BRANCH_CODE, CLASS_CODE, ENT_BY, ENT_DATE, ENT_BY_IP)</v>
      </c>
      <c r="AD273" s="12" t="str">
        <f t="shared" si="128"/>
        <v>VALUES('08803201','ClientReports.aspx', 'USER', '01', '08', 'ABDUL', SYSDATE, '10.6.100.63');</v>
      </c>
      <c r="AE273" s="12" t="str">
        <f t="shared" si="129"/>
        <v>INSERT INTO sy_perm_list (USER_CD, OPT_CD, ACCESS_TYPE, BRANCH_CODE, CLASS_CODE, ENT_BY, ENT_DATE, ENT_BY_IP)</v>
      </c>
      <c r="AF273" s="12" t="str">
        <f t="shared" si="130"/>
        <v>VALUES('08803201','ClientRequests.aspx', 'USER', '01', '08', 'ABDUL', SYSDATE, '10.6.100.63');</v>
      </c>
      <c r="AG273" s="12" t="str">
        <f t="shared" si="131"/>
        <v>INSERT INTO sy_perm_list (USER_CD, OPT_CD, ACCESS_TYPE, BRANCH_CODE, CLASS_CODE, ENT_BY, ENT_DATE, ENT_BY_IP)</v>
      </c>
      <c r="AH273" s="12" t="str">
        <f t="shared" si="132"/>
        <v>VALUES('08803201','HealthLife.aspx', 'USER', '01', '08', 'ABDUL', SYSDATE, '10.6.100.63');</v>
      </c>
      <c r="AI273" s="12" t="str">
        <f t="shared" si="133"/>
        <v>INSERT INTO sy_perm_list (USER_CD, OPT_CD, ACCESS_TYPE, BRANCH_CODE, CLASS_CODE, ENT_BY, ENT_DATE, ENT_BY_IP)</v>
      </c>
      <c r="AJ273" s="12" t="str">
        <f t="shared" si="134"/>
        <v>VALUES('08803201','IpdClaim.aspx', 'USER', '01', '08', 'ABDUL', SYSDATE, '10.6.100.63');</v>
      </c>
      <c r="AK273" s="12" t="str">
        <f t="shared" si="135"/>
        <v>INSERT INTO sy_perm_list (USER_CD, OPT_CD, ACCESS_TYPE, BRANCH_CODE, CLASS_CODE, ENT_BY, ENT_DATE, ENT_BY_IP)</v>
      </c>
      <c r="AL273" s="12" t="str">
        <f t="shared" si="136"/>
        <v>VALUES('08803201','OpdClaim.aspx', 'USER', '01', '08', 'ABDUL', SYSDATE, '10.6.100.63');</v>
      </c>
      <c r="AM273" s="12" t="str">
        <f t="shared" si="137"/>
        <v>INSERT INTO sy_perm_list (USER_CD, OPT_CD, ACCESS_TYPE, BRANCH_CODE, CLASS_CODE, ENT_BY, ENT_DATE, ENT_BY_IP)</v>
      </c>
      <c r="AN273" s="12" t="str">
        <f t="shared" si="138"/>
        <v>VALUES('08803201','RequestDetails.aspx', 'USER', '01', '08', 'ABDUL', SYSDATE, '10.6.100.63');</v>
      </c>
      <c r="AO273" s="12" t="str">
        <f t="shared" si="139"/>
        <v>INSERT INTO sy_perm_list (USER_CD, OPT_CD, ACCESS_TYPE, BRANCH_CODE, CLASS_CODE, ENT_BY, ENT_DATE, ENT_BY_IP)</v>
      </c>
      <c r="AP273" s="12" t="str">
        <f t="shared" si="140"/>
        <v>VALUES('08803201','TodaysRequest.aspx', 'USER', '01', '08', 'ABDUL', SYSDATE, '10.6.100.63');</v>
      </c>
    </row>
    <row r="274" spans="1:42" ht="78" thickBot="1" x14ac:dyDescent="0.3">
      <c r="A274" s="37"/>
      <c r="B274" s="37" t="s">
        <v>1272</v>
      </c>
      <c r="C274" s="37"/>
      <c r="D274" s="37"/>
      <c r="E274" s="37"/>
      <c r="F274" s="37"/>
      <c r="G274" s="37"/>
      <c r="H274" s="37"/>
      <c r="I274" s="37"/>
      <c r="J274" s="46" t="s">
        <v>1271</v>
      </c>
      <c r="K274" s="46" t="s">
        <v>1262</v>
      </c>
      <c r="L274" s="73" t="s">
        <v>1270</v>
      </c>
      <c r="M274" s="72" t="s">
        <v>1269</v>
      </c>
      <c r="N274" s="37"/>
      <c r="O274" s="37"/>
      <c r="P274" s="37"/>
      <c r="Q274" s="37"/>
      <c r="R274" s="37"/>
      <c r="S27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4" s="12" t="str">
        <f t="shared" si="142"/>
        <v>VALUES('08803392','TRUCK IT IN (PRIVATE) LIMITED','Salaam@123','Y','N',sysdate,'016', 'C', 'Client', 'Sharjeel','01','B', '08', 'ABDUL', sysdate, '10.6.100.63', '08803392');</v>
      </c>
      <c r="U274" s="12" t="str">
        <f t="shared" si="119"/>
        <v>INSERT INTO sy_user_branches (USER_CD, BRANCH_CODE, CLASS_CODE, ENT_BY, ENT_DATE, ENT_BY_IP)</v>
      </c>
      <c r="V274" s="12" t="str">
        <f t="shared" si="120"/>
        <v>values('08803392','01', '08', 'ABDUL', sysdate, '10.6.100.63');</v>
      </c>
      <c r="W274" s="12" t="str">
        <f t="shared" si="121"/>
        <v>INSERT INTO sy_perm_list (USER_CD, OPT_CD, ACCESS_TYPE, BRANCH_CODE, CLASS_CODE, ENT_BY, ENT_DATE, ENT_BY_IP)</v>
      </c>
      <c r="X274" s="12" t="str">
        <f t="shared" si="122"/>
        <v>VALUES('08803392','ClaimComments.aspx', 'USER', '01', '08', 'ABDUL', SYSDATE, '10.6.100.63');</v>
      </c>
      <c r="Y274" s="12" t="str">
        <f t="shared" si="123"/>
        <v>INSERT INTO sy_perm_list (USER_CD, OPT_CD, ACCESS_TYPE, BRANCH_CODE, CLASS_CODE, ENT_BY, ENT_DATE, ENT_BY_IP)</v>
      </c>
      <c r="Z274" s="12" t="str">
        <f t="shared" si="124"/>
        <v>VALUES('08803392','ClaimDocs.aspx', 'USER', '01', '08', 'ABDUL', SYSDATE, '10.6.100.63');</v>
      </c>
      <c r="AA274" s="12" t="str">
        <f t="shared" si="125"/>
        <v>INSERT INTO sy_perm_list (USER_CD, OPT_CD, ACCESS_TYPE, BRANCH_CODE, CLASS_CODE, ENT_BY, ENT_DATE, ENT_BY_IP)</v>
      </c>
      <c r="AB274" s="12" t="str">
        <f t="shared" si="126"/>
        <v>VALUES('08803392','Client.aspx', 'USER', '01', '08', 'ABDUL', SYSDATE, '10.6.100.63');</v>
      </c>
      <c r="AC274" s="12" t="str">
        <f t="shared" si="127"/>
        <v>INSERT INTO sy_perm_list (USER_CD, OPT_CD, ACCESS_TYPE, BRANCH_CODE, CLASS_CODE, ENT_BY, ENT_DATE, ENT_BY_IP)</v>
      </c>
      <c r="AD274" s="12" t="str">
        <f t="shared" si="128"/>
        <v>VALUES('08803392','ClientReports.aspx', 'USER', '01', '08', 'ABDUL', SYSDATE, '10.6.100.63');</v>
      </c>
      <c r="AE274" s="12" t="str">
        <f t="shared" si="129"/>
        <v>INSERT INTO sy_perm_list (USER_CD, OPT_CD, ACCESS_TYPE, BRANCH_CODE, CLASS_CODE, ENT_BY, ENT_DATE, ENT_BY_IP)</v>
      </c>
      <c r="AF274" s="12" t="str">
        <f t="shared" si="130"/>
        <v>VALUES('08803392','ClientRequests.aspx', 'USER', '01', '08', 'ABDUL', SYSDATE, '10.6.100.63');</v>
      </c>
      <c r="AG274" s="12" t="str">
        <f t="shared" si="131"/>
        <v>INSERT INTO sy_perm_list (USER_CD, OPT_CD, ACCESS_TYPE, BRANCH_CODE, CLASS_CODE, ENT_BY, ENT_DATE, ENT_BY_IP)</v>
      </c>
      <c r="AH274" s="12" t="str">
        <f t="shared" si="132"/>
        <v>VALUES('08803392','HealthLife.aspx', 'USER', '01', '08', 'ABDUL', SYSDATE, '10.6.100.63');</v>
      </c>
      <c r="AI274" s="12" t="str">
        <f t="shared" si="133"/>
        <v>INSERT INTO sy_perm_list (USER_CD, OPT_CD, ACCESS_TYPE, BRANCH_CODE, CLASS_CODE, ENT_BY, ENT_DATE, ENT_BY_IP)</v>
      </c>
      <c r="AJ274" s="12" t="str">
        <f t="shared" si="134"/>
        <v>VALUES('08803392','IpdClaim.aspx', 'USER', '01', '08', 'ABDUL', SYSDATE, '10.6.100.63');</v>
      </c>
      <c r="AK274" s="12" t="str">
        <f t="shared" si="135"/>
        <v>INSERT INTO sy_perm_list (USER_CD, OPT_CD, ACCESS_TYPE, BRANCH_CODE, CLASS_CODE, ENT_BY, ENT_DATE, ENT_BY_IP)</v>
      </c>
      <c r="AL274" s="12" t="str">
        <f t="shared" si="136"/>
        <v>VALUES('08803392','OpdClaim.aspx', 'USER', '01', '08', 'ABDUL', SYSDATE, '10.6.100.63');</v>
      </c>
      <c r="AM274" s="12" t="str">
        <f t="shared" si="137"/>
        <v>INSERT INTO sy_perm_list (USER_CD, OPT_CD, ACCESS_TYPE, BRANCH_CODE, CLASS_CODE, ENT_BY, ENT_DATE, ENT_BY_IP)</v>
      </c>
      <c r="AN274" s="12" t="str">
        <f t="shared" si="138"/>
        <v>VALUES('08803392','RequestDetails.aspx', 'USER', '01', '08', 'ABDUL', SYSDATE, '10.6.100.63');</v>
      </c>
      <c r="AO274" s="12" t="str">
        <f t="shared" si="139"/>
        <v>INSERT INTO sy_perm_list (USER_CD, OPT_CD, ACCESS_TYPE, BRANCH_CODE, CLASS_CODE, ENT_BY, ENT_DATE, ENT_BY_IP)</v>
      </c>
      <c r="AP274" s="12" t="str">
        <f t="shared" si="140"/>
        <v>VALUES('08803392','TodaysRequest.aspx', 'USER', '01', '08', 'ABDUL', SYSDATE, '10.6.100.63');</v>
      </c>
    </row>
    <row r="275" spans="1:42" ht="78" thickBot="1" x14ac:dyDescent="0.3">
      <c r="A275" s="37"/>
      <c r="B275" s="37" t="s">
        <v>1273</v>
      </c>
      <c r="C275" s="37"/>
      <c r="D275" s="37"/>
      <c r="E275" s="37"/>
      <c r="F275" s="37"/>
      <c r="G275" s="37"/>
      <c r="H275" s="37"/>
      <c r="I275" s="37"/>
      <c r="J275" s="54" t="s">
        <v>1274</v>
      </c>
      <c r="K275" s="54" t="s">
        <v>1275</v>
      </c>
      <c r="L275" s="54" t="s">
        <v>1276</v>
      </c>
      <c r="M275" s="55" t="s">
        <v>1277</v>
      </c>
      <c r="N275" s="37"/>
      <c r="O275" s="37"/>
      <c r="P275" s="37"/>
      <c r="Q275" s="37"/>
      <c r="R275" s="37"/>
      <c r="S27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5" s="12" t="str">
        <f t="shared" si="142"/>
        <v>VALUES('08003263','HOORA PHARMA','Salaam@123','Y','N',sysdate,'016', 'C', 'Client', 'Bilal Alam','01','B', '08', 'ABDUL', sysdate, '10.6.100.63', '08003263');</v>
      </c>
      <c r="U275" s="12" t="str">
        <f t="shared" si="119"/>
        <v>INSERT INTO sy_user_branches (USER_CD, BRANCH_CODE, CLASS_CODE, ENT_BY, ENT_DATE, ENT_BY_IP)</v>
      </c>
      <c r="V275" s="12" t="str">
        <f t="shared" si="120"/>
        <v>values('08003263','01', '08', 'ABDUL', sysdate, '10.6.100.63');</v>
      </c>
      <c r="W275" s="12" t="str">
        <f t="shared" si="121"/>
        <v>INSERT INTO sy_perm_list (USER_CD, OPT_CD, ACCESS_TYPE, BRANCH_CODE, CLASS_CODE, ENT_BY, ENT_DATE, ENT_BY_IP)</v>
      </c>
      <c r="X275" s="12" t="str">
        <f t="shared" si="122"/>
        <v>VALUES('08003263','ClaimComments.aspx', 'USER', '01', '08', 'ABDUL', SYSDATE, '10.6.100.63');</v>
      </c>
      <c r="Y275" s="12" t="str">
        <f t="shared" si="123"/>
        <v>INSERT INTO sy_perm_list (USER_CD, OPT_CD, ACCESS_TYPE, BRANCH_CODE, CLASS_CODE, ENT_BY, ENT_DATE, ENT_BY_IP)</v>
      </c>
      <c r="Z275" s="12" t="str">
        <f t="shared" si="124"/>
        <v>VALUES('08003263','ClaimDocs.aspx', 'USER', '01', '08', 'ABDUL', SYSDATE, '10.6.100.63');</v>
      </c>
      <c r="AA275" s="12" t="str">
        <f t="shared" si="125"/>
        <v>INSERT INTO sy_perm_list (USER_CD, OPT_CD, ACCESS_TYPE, BRANCH_CODE, CLASS_CODE, ENT_BY, ENT_DATE, ENT_BY_IP)</v>
      </c>
      <c r="AB275" s="12" t="str">
        <f t="shared" si="126"/>
        <v>VALUES('08003263','Client.aspx', 'USER', '01', '08', 'ABDUL', SYSDATE, '10.6.100.63');</v>
      </c>
      <c r="AC275" s="12" t="str">
        <f t="shared" si="127"/>
        <v>INSERT INTO sy_perm_list (USER_CD, OPT_CD, ACCESS_TYPE, BRANCH_CODE, CLASS_CODE, ENT_BY, ENT_DATE, ENT_BY_IP)</v>
      </c>
      <c r="AD275" s="12" t="str">
        <f t="shared" si="128"/>
        <v>VALUES('08003263','ClientReports.aspx', 'USER', '01', '08', 'ABDUL', SYSDATE, '10.6.100.63');</v>
      </c>
      <c r="AE275" s="12" t="str">
        <f t="shared" si="129"/>
        <v>INSERT INTO sy_perm_list (USER_CD, OPT_CD, ACCESS_TYPE, BRANCH_CODE, CLASS_CODE, ENT_BY, ENT_DATE, ENT_BY_IP)</v>
      </c>
      <c r="AF275" s="12" t="str">
        <f t="shared" si="130"/>
        <v>VALUES('08003263','ClientRequests.aspx', 'USER', '01', '08', 'ABDUL', SYSDATE, '10.6.100.63');</v>
      </c>
      <c r="AG275" s="12" t="str">
        <f t="shared" si="131"/>
        <v>INSERT INTO sy_perm_list (USER_CD, OPT_CD, ACCESS_TYPE, BRANCH_CODE, CLASS_CODE, ENT_BY, ENT_DATE, ENT_BY_IP)</v>
      </c>
      <c r="AH275" s="12" t="str">
        <f t="shared" si="132"/>
        <v>VALUES('08003263','HealthLife.aspx', 'USER', '01', '08', 'ABDUL', SYSDATE, '10.6.100.63');</v>
      </c>
      <c r="AI275" s="12" t="str">
        <f t="shared" si="133"/>
        <v>INSERT INTO sy_perm_list (USER_CD, OPT_CD, ACCESS_TYPE, BRANCH_CODE, CLASS_CODE, ENT_BY, ENT_DATE, ENT_BY_IP)</v>
      </c>
      <c r="AJ275" s="12" t="str">
        <f t="shared" si="134"/>
        <v>VALUES('08003263','IpdClaim.aspx', 'USER', '01', '08', 'ABDUL', SYSDATE, '10.6.100.63');</v>
      </c>
      <c r="AK275" s="12" t="str">
        <f t="shared" si="135"/>
        <v>INSERT INTO sy_perm_list (USER_CD, OPT_CD, ACCESS_TYPE, BRANCH_CODE, CLASS_CODE, ENT_BY, ENT_DATE, ENT_BY_IP)</v>
      </c>
      <c r="AL275" s="12" t="str">
        <f t="shared" si="136"/>
        <v>VALUES('08003263','OpdClaim.aspx', 'USER', '01', '08', 'ABDUL', SYSDATE, '10.6.100.63');</v>
      </c>
      <c r="AM275" s="12" t="str">
        <f t="shared" si="137"/>
        <v>INSERT INTO sy_perm_list (USER_CD, OPT_CD, ACCESS_TYPE, BRANCH_CODE, CLASS_CODE, ENT_BY, ENT_DATE, ENT_BY_IP)</v>
      </c>
      <c r="AN275" s="12" t="str">
        <f t="shared" si="138"/>
        <v>VALUES('08003263','RequestDetails.aspx', 'USER', '01', '08', 'ABDUL', SYSDATE, '10.6.100.63');</v>
      </c>
      <c r="AO275" s="12" t="str">
        <f t="shared" si="139"/>
        <v>INSERT INTO sy_perm_list (USER_CD, OPT_CD, ACCESS_TYPE, BRANCH_CODE, CLASS_CODE, ENT_BY, ENT_DATE, ENT_BY_IP)</v>
      </c>
      <c r="AP275" s="12" t="str">
        <f t="shared" si="140"/>
        <v>VALUES('08003263','TodaysRequest.aspx', 'USER', '01', '08', 'ABDUL', SYSDATE, '10.6.100.63');</v>
      </c>
    </row>
    <row r="276" spans="1:42" ht="78" thickBot="1" x14ac:dyDescent="0.3">
      <c r="A276" s="37"/>
      <c r="B276" s="37" t="s">
        <v>1278</v>
      </c>
      <c r="C276" s="37"/>
      <c r="D276" s="37"/>
      <c r="E276" s="37"/>
      <c r="F276" s="37"/>
      <c r="G276" s="37"/>
      <c r="H276" s="37"/>
      <c r="I276" s="37"/>
      <c r="J276" s="46" t="s">
        <v>1279</v>
      </c>
      <c r="K276" s="46" t="s">
        <v>1280</v>
      </c>
      <c r="L276" s="37" t="s">
        <v>1285</v>
      </c>
      <c r="M276" s="42" t="s">
        <v>1281</v>
      </c>
      <c r="N276" s="37"/>
      <c r="O276" s="37"/>
      <c r="P276" s="37"/>
      <c r="Q276" s="37"/>
      <c r="R276" s="37"/>
      <c r="S27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6" s="12" t="str">
        <f t="shared" si="142"/>
        <v>VALUES('08803490','Asia TA (Private) Limited','Salaam@123','Y','N',sysdate,'016', 'C', 'Client', 'Danish Khan','01','B', '08', 'ABDUL', sysdate, '10.6.100.63', '08803490');</v>
      </c>
      <c r="U276" s="12" t="str">
        <f t="shared" si="119"/>
        <v>INSERT INTO sy_user_branches (USER_CD, BRANCH_CODE, CLASS_CODE, ENT_BY, ENT_DATE, ENT_BY_IP)</v>
      </c>
      <c r="V276" s="12" t="str">
        <f t="shared" si="120"/>
        <v>values('08803490','01', '08', 'ABDUL', sysdate, '10.6.100.63');</v>
      </c>
      <c r="W276" s="12" t="str">
        <f t="shared" si="121"/>
        <v>INSERT INTO sy_perm_list (USER_CD, OPT_CD, ACCESS_TYPE, BRANCH_CODE, CLASS_CODE, ENT_BY, ENT_DATE, ENT_BY_IP)</v>
      </c>
      <c r="X276" s="12" t="str">
        <f t="shared" si="122"/>
        <v>VALUES('08803490','ClaimComments.aspx', 'USER', '01', '08', 'ABDUL', SYSDATE, '10.6.100.63');</v>
      </c>
      <c r="Y276" s="12" t="str">
        <f t="shared" si="123"/>
        <v>INSERT INTO sy_perm_list (USER_CD, OPT_CD, ACCESS_TYPE, BRANCH_CODE, CLASS_CODE, ENT_BY, ENT_DATE, ENT_BY_IP)</v>
      </c>
      <c r="Z276" s="12" t="str">
        <f t="shared" si="124"/>
        <v>VALUES('08803490','ClaimDocs.aspx', 'USER', '01', '08', 'ABDUL', SYSDATE, '10.6.100.63');</v>
      </c>
      <c r="AA276" s="12" t="str">
        <f t="shared" si="125"/>
        <v>INSERT INTO sy_perm_list (USER_CD, OPT_CD, ACCESS_TYPE, BRANCH_CODE, CLASS_CODE, ENT_BY, ENT_DATE, ENT_BY_IP)</v>
      </c>
      <c r="AB276" s="12" t="str">
        <f t="shared" si="126"/>
        <v>VALUES('08803490','Client.aspx', 'USER', '01', '08', 'ABDUL', SYSDATE, '10.6.100.63');</v>
      </c>
      <c r="AC276" s="12" t="str">
        <f t="shared" si="127"/>
        <v>INSERT INTO sy_perm_list (USER_CD, OPT_CD, ACCESS_TYPE, BRANCH_CODE, CLASS_CODE, ENT_BY, ENT_DATE, ENT_BY_IP)</v>
      </c>
      <c r="AD276" s="12" t="str">
        <f t="shared" si="128"/>
        <v>VALUES('08803490','ClientReports.aspx', 'USER', '01', '08', 'ABDUL', SYSDATE, '10.6.100.63');</v>
      </c>
      <c r="AE276" s="12" t="str">
        <f t="shared" si="129"/>
        <v>INSERT INTO sy_perm_list (USER_CD, OPT_CD, ACCESS_TYPE, BRANCH_CODE, CLASS_CODE, ENT_BY, ENT_DATE, ENT_BY_IP)</v>
      </c>
      <c r="AF276" s="12" t="str">
        <f t="shared" si="130"/>
        <v>VALUES('08803490','ClientRequests.aspx', 'USER', '01', '08', 'ABDUL', SYSDATE, '10.6.100.63');</v>
      </c>
      <c r="AG276" s="12" t="str">
        <f t="shared" si="131"/>
        <v>INSERT INTO sy_perm_list (USER_CD, OPT_CD, ACCESS_TYPE, BRANCH_CODE, CLASS_CODE, ENT_BY, ENT_DATE, ENT_BY_IP)</v>
      </c>
      <c r="AH276" s="12" t="str">
        <f t="shared" si="132"/>
        <v>VALUES('08803490','HealthLife.aspx', 'USER', '01', '08', 'ABDUL', SYSDATE, '10.6.100.63');</v>
      </c>
      <c r="AI276" s="12" t="str">
        <f t="shared" si="133"/>
        <v>INSERT INTO sy_perm_list (USER_CD, OPT_CD, ACCESS_TYPE, BRANCH_CODE, CLASS_CODE, ENT_BY, ENT_DATE, ENT_BY_IP)</v>
      </c>
      <c r="AJ276" s="12" t="str">
        <f t="shared" si="134"/>
        <v>VALUES('08803490','IpdClaim.aspx', 'USER', '01', '08', 'ABDUL', SYSDATE, '10.6.100.63');</v>
      </c>
      <c r="AK276" s="12" t="str">
        <f t="shared" si="135"/>
        <v>INSERT INTO sy_perm_list (USER_CD, OPT_CD, ACCESS_TYPE, BRANCH_CODE, CLASS_CODE, ENT_BY, ENT_DATE, ENT_BY_IP)</v>
      </c>
      <c r="AL276" s="12" t="str">
        <f t="shared" si="136"/>
        <v>VALUES('08803490','OpdClaim.aspx', 'USER', '01', '08', 'ABDUL', SYSDATE, '10.6.100.63');</v>
      </c>
      <c r="AM276" s="12" t="str">
        <f t="shared" si="137"/>
        <v>INSERT INTO sy_perm_list (USER_CD, OPT_CD, ACCESS_TYPE, BRANCH_CODE, CLASS_CODE, ENT_BY, ENT_DATE, ENT_BY_IP)</v>
      </c>
      <c r="AN276" s="12" t="str">
        <f t="shared" si="138"/>
        <v>VALUES('08803490','RequestDetails.aspx', 'USER', '01', '08', 'ABDUL', SYSDATE, '10.6.100.63');</v>
      </c>
      <c r="AO276" s="12" t="str">
        <f t="shared" si="139"/>
        <v>INSERT INTO sy_perm_list (USER_CD, OPT_CD, ACCESS_TYPE, BRANCH_CODE, CLASS_CODE, ENT_BY, ENT_DATE, ENT_BY_IP)</v>
      </c>
      <c r="AP276" s="12" t="str">
        <f t="shared" si="140"/>
        <v>VALUES('08803490','TodaysRequest.aspx', 'USER', '01', '08', 'ABDUL', SYSDATE, '10.6.100.63');</v>
      </c>
    </row>
    <row r="277" spans="1:42" ht="78" thickBot="1" x14ac:dyDescent="0.3">
      <c r="A277" s="37"/>
      <c r="B277" s="37" t="s">
        <v>1287</v>
      </c>
      <c r="C277" s="37"/>
      <c r="D277" s="37"/>
      <c r="E277" s="37"/>
      <c r="F277" s="37"/>
      <c r="G277" s="37"/>
      <c r="H277" s="37"/>
      <c r="I277" s="37"/>
      <c r="J277" s="46" t="s">
        <v>1286</v>
      </c>
      <c r="K277" s="46" t="s">
        <v>1282</v>
      </c>
      <c r="L277" s="37" t="s">
        <v>1284</v>
      </c>
      <c r="M277" s="42" t="s">
        <v>1283</v>
      </c>
      <c r="N277" s="37"/>
      <c r="O277" s="37"/>
      <c r="P277" s="37"/>
      <c r="Q277" s="37"/>
      <c r="R277" s="37"/>
      <c r="S27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7" s="12" t="str">
        <f t="shared" si="142"/>
        <v>VALUES('088017981','Penn Steel Fabrication Inc.','Salaam@123','Y','N',sysdate,'016', 'C', 'Client', 'Muhammad Hassan Arif','01','B', '08', 'ABDUL', sysdate, '10.6.100.63', '088017981');</v>
      </c>
      <c r="U277" s="12" t="str">
        <f t="shared" si="119"/>
        <v>INSERT INTO sy_user_branches (USER_CD, BRANCH_CODE, CLASS_CODE, ENT_BY, ENT_DATE, ENT_BY_IP)</v>
      </c>
      <c r="V277" s="12" t="str">
        <f t="shared" si="120"/>
        <v>values('088017981','01', '08', 'ABDUL', sysdate, '10.6.100.63');</v>
      </c>
      <c r="W277" s="12" t="str">
        <f t="shared" si="121"/>
        <v>INSERT INTO sy_perm_list (USER_CD, OPT_CD, ACCESS_TYPE, BRANCH_CODE, CLASS_CODE, ENT_BY, ENT_DATE, ENT_BY_IP)</v>
      </c>
      <c r="X277" s="12" t="str">
        <f t="shared" si="122"/>
        <v>VALUES('088017981','ClaimComments.aspx', 'USER', '01', '08', 'ABDUL', SYSDATE, '10.6.100.63');</v>
      </c>
      <c r="Y277" s="12" t="str">
        <f t="shared" si="123"/>
        <v>INSERT INTO sy_perm_list (USER_CD, OPT_CD, ACCESS_TYPE, BRANCH_CODE, CLASS_CODE, ENT_BY, ENT_DATE, ENT_BY_IP)</v>
      </c>
      <c r="Z277" s="12" t="str">
        <f t="shared" si="124"/>
        <v>VALUES('088017981','ClaimDocs.aspx', 'USER', '01', '08', 'ABDUL', SYSDATE, '10.6.100.63');</v>
      </c>
      <c r="AA277" s="12" t="str">
        <f t="shared" si="125"/>
        <v>INSERT INTO sy_perm_list (USER_CD, OPT_CD, ACCESS_TYPE, BRANCH_CODE, CLASS_CODE, ENT_BY, ENT_DATE, ENT_BY_IP)</v>
      </c>
      <c r="AB277" s="12" t="str">
        <f t="shared" si="126"/>
        <v>VALUES('088017981','Client.aspx', 'USER', '01', '08', 'ABDUL', SYSDATE, '10.6.100.63');</v>
      </c>
      <c r="AC277" s="12" t="str">
        <f t="shared" si="127"/>
        <v>INSERT INTO sy_perm_list (USER_CD, OPT_CD, ACCESS_TYPE, BRANCH_CODE, CLASS_CODE, ENT_BY, ENT_DATE, ENT_BY_IP)</v>
      </c>
      <c r="AD277" s="12" t="str">
        <f t="shared" si="128"/>
        <v>VALUES('088017981','ClientReports.aspx', 'USER', '01', '08', 'ABDUL', SYSDATE, '10.6.100.63');</v>
      </c>
      <c r="AE277" s="12" t="str">
        <f t="shared" si="129"/>
        <v>INSERT INTO sy_perm_list (USER_CD, OPT_CD, ACCESS_TYPE, BRANCH_CODE, CLASS_CODE, ENT_BY, ENT_DATE, ENT_BY_IP)</v>
      </c>
      <c r="AF277" s="12" t="str">
        <f t="shared" si="130"/>
        <v>VALUES('088017981','ClientRequests.aspx', 'USER', '01', '08', 'ABDUL', SYSDATE, '10.6.100.63');</v>
      </c>
      <c r="AG277" s="12" t="str">
        <f t="shared" si="131"/>
        <v>INSERT INTO sy_perm_list (USER_CD, OPT_CD, ACCESS_TYPE, BRANCH_CODE, CLASS_CODE, ENT_BY, ENT_DATE, ENT_BY_IP)</v>
      </c>
      <c r="AH277" s="12" t="str">
        <f t="shared" si="132"/>
        <v>VALUES('088017981','HealthLife.aspx', 'USER', '01', '08', 'ABDUL', SYSDATE, '10.6.100.63');</v>
      </c>
      <c r="AI277" s="12" t="str">
        <f t="shared" si="133"/>
        <v>INSERT INTO sy_perm_list (USER_CD, OPT_CD, ACCESS_TYPE, BRANCH_CODE, CLASS_CODE, ENT_BY, ENT_DATE, ENT_BY_IP)</v>
      </c>
      <c r="AJ277" s="12" t="str">
        <f t="shared" si="134"/>
        <v>VALUES('088017981','IpdClaim.aspx', 'USER', '01', '08', 'ABDUL', SYSDATE, '10.6.100.63');</v>
      </c>
      <c r="AK277" s="12" t="str">
        <f t="shared" si="135"/>
        <v>INSERT INTO sy_perm_list (USER_CD, OPT_CD, ACCESS_TYPE, BRANCH_CODE, CLASS_CODE, ENT_BY, ENT_DATE, ENT_BY_IP)</v>
      </c>
      <c r="AL277" s="12" t="str">
        <f t="shared" si="136"/>
        <v>VALUES('088017981','OpdClaim.aspx', 'USER', '01', '08', 'ABDUL', SYSDATE, '10.6.100.63');</v>
      </c>
      <c r="AM277" s="12" t="str">
        <f t="shared" si="137"/>
        <v>INSERT INTO sy_perm_list (USER_CD, OPT_CD, ACCESS_TYPE, BRANCH_CODE, CLASS_CODE, ENT_BY, ENT_DATE, ENT_BY_IP)</v>
      </c>
      <c r="AN277" s="12" t="str">
        <f t="shared" si="138"/>
        <v>VALUES('088017981','RequestDetails.aspx', 'USER', '01', '08', 'ABDUL', SYSDATE, '10.6.100.63');</v>
      </c>
      <c r="AO277" s="12" t="str">
        <f t="shared" si="139"/>
        <v>INSERT INTO sy_perm_list (USER_CD, OPT_CD, ACCESS_TYPE, BRANCH_CODE, CLASS_CODE, ENT_BY, ENT_DATE, ENT_BY_IP)</v>
      </c>
      <c r="AP277" s="12" t="str">
        <f t="shared" si="140"/>
        <v>VALUES('088017981','TodaysRequest.aspx', 'USER', '01', '08', 'ABDUL', SYSDATE, '10.6.100.63');</v>
      </c>
    </row>
    <row r="278" spans="1:42" ht="78" thickBot="1" x14ac:dyDescent="0.3">
      <c r="A278" s="37"/>
      <c r="B278" s="37" t="s">
        <v>1288</v>
      </c>
      <c r="C278" s="37"/>
      <c r="D278" s="37"/>
      <c r="E278" s="37"/>
      <c r="F278" s="37"/>
      <c r="G278" s="37"/>
      <c r="H278" s="37"/>
      <c r="I278" s="37"/>
      <c r="J278" s="54" t="s">
        <v>1289</v>
      </c>
      <c r="K278" s="54" t="s">
        <v>1290</v>
      </c>
      <c r="L278" s="54" t="s">
        <v>1291</v>
      </c>
      <c r="M278" s="55" t="s">
        <v>1292</v>
      </c>
      <c r="N278" s="37"/>
      <c r="O278" s="37"/>
      <c r="P278" s="37"/>
      <c r="Q278" s="37"/>
      <c r="R278" s="37"/>
      <c r="S27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8" s="12" t="str">
        <f t="shared" si="142"/>
        <v>VALUES('08803912','Haball (Private) Limited','Salaam@123','Y','N',sysdate,'016', 'C', 'Client', 'Ms. Asifa Khan','01','B', '08', 'ABDUL', sysdate, '10.6.100.63', '08803912');</v>
      </c>
      <c r="U278" s="12" t="str">
        <f t="shared" si="119"/>
        <v>INSERT INTO sy_user_branches (USER_CD, BRANCH_CODE, CLASS_CODE, ENT_BY, ENT_DATE, ENT_BY_IP)</v>
      </c>
      <c r="V278" s="12" t="str">
        <f t="shared" si="120"/>
        <v>values('08803912','01', '08', 'ABDUL', sysdate, '10.6.100.63');</v>
      </c>
      <c r="W278" s="12" t="str">
        <f t="shared" si="121"/>
        <v>INSERT INTO sy_perm_list (USER_CD, OPT_CD, ACCESS_TYPE, BRANCH_CODE, CLASS_CODE, ENT_BY, ENT_DATE, ENT_BY_IP)</v>
      </c>
      <c r="X278" s="12" t="str">
        <f t="shared" si="122"/>
        <v>VALUES('08803912','ClaimComments.aspx', 'USER', '01', '08', 'ABDUL', SYSDATE, '10.6.100.63');</v>
      </c>
      <c r="Y278" s="12" t="str">
        <f t="shared" si="123"/>
        <v>INSERT INTO sy_perm_list (USER_CD, OPT_CD, ACCESS_TYPE, BRANCH_CODE, CLASS_CODE, ENT_BY, ENT_DATE, ENT_BY_IP)</v>
      </c>
      <c r="Z278" s="12" t="str">
        <f t="shared" si="124"/>
        <v>VALUES('08803912','ClaimDocs.aspx', 'USER', '01', '08', 'ABDUL', SYSDATE, '10.6.100.63');</v>
      </c>
      <c r="AA278" s="12" t="str">
        <f t="shared" si="125"/>
        <v>INSERT INTO sy_perm_list (USER_CD, OPT_CD, ACCESS_TYPE, BRANCH_CODE, CLASS_CODE, ENT_BY, ENT_DATE, ENT_BY_IP)</v>
      </c>
      <c r="AB278" s="12" t="str">
        <f t="shared" si="126"/>
        <v>VALUES('08803912','Client.aspx', 'USER', '01', '08', 'ABDUL', SYSDATE, '10.6.100.63');</v>
      </c>
      <c r="AC278" s="12" t="str">
        <f t="shared" si="127"/>
        <v>INSERT INTO sy_perm_list (USER_CD, OPT_CD, ACCESS_TYPE, BRANCH_CODE, CLASS_CODE, ENT_BY, ENT_DATE, ENT_BY_IP)</v>
      </c>
      <c r="AD278" s="12" t="str">
        <f t="shared" si="128"/>
        <v>VALUES('08803912','ClientReports.aspx', 'USER', '01', '08', 'ABDUL', SYSDATE, '10.6.100.63');</v>
      </c>
      <c r="AE278" s="12" t="str">
        <f t="shared" si="129"/>
        <v>INSERT INTO sy_perm_list (USER_CD, OPT_CD, ACCESS_TYPE, BRANCH_CODE, CLASS_CODE, ENT_BY, ENT_DATE, ENT_BY_IP)</v>
      </c>
      <c r="AF278" s="12" t="str">
        <f t="shared" si="130"/>
        <v>VALUES('08803912','ClientRequests.aspx', 'USER', '01', '08', 'ABDUL', SYSDATE, '10.6.100.63');</v>
      </c>
      <c r="AG278" s="12" t="str">
        <f t="shared" si="131"/>
        <v>INSERT INTO sy_perm_list (USER_CD, OPT_CD, ACCESS_TYPE, BRANCH_CODE, CLASS_CODE, ENT_BY, ENT_DATE, ENT_BY_IP)</v>
      </c>
      <c r="AH278" s="12" t="str">
        <f t="shared" si="132"/>
        <v>VALUES('08803912','HealthLife.aspx', 'USER', '01', '08', 'ABDUL', SYSDATE, '10.6.100.63');</v>
      </c>
      <c r="AI278" s="12" t="str">
        <f t="shared" si="133"/>
        <v>INSERT INTO sy_perm_list (USER_CD, OPT_CD, ACCESS_TYPE, BRANCH_CODE, CLASS_CODE, ENT_BY, ENT_DATE, ENT_BY_IP)</v>
      </c>
      <c r="AJ278" s="12" t="str">
        <f t="shared" si="134"/>
        <v>VALUES('08803912','IpdClaim.aspx', 'USER', '01', '08', 'ABDUL', SYSDATE, '10.6.100.63');</v>
      </c>
      <c r="AK278" s="12" t="str">
        <f t="shared" si="135"/>
        <v>INSERT INTO sy_perm_list (USER_CD, OPT_CD, ACCESS_TYPE, BRANCH_CODE, CLASS_CODE, ENT_BY, ENT_DATE, ENT_BY_IP)</v>
      </c>
      <c r="AL278" s="12" t="str">
        <f t="shared" si="136"/>
        <v>VALUES('08803912','OpdClaim.aspx', 'USER', '01', '08', 'ABDUL', SYSDATE, '10.6.100.63');</v>
      </c>
      <c r="AM278" s="12" t="str">
        <f t="shared" si="137"/>
        <v>INSERT INTO sy_perm_list (USER_CD, OPT_CD, ACCESS_TYPE, BRANCH_CODE, CLASS_CODE, ENT_BY, ENT_DATE, ENT_BY_IP)</v>
      </c>
      <c r="AN278" s="12" t="str">
        <f t="shared" si="138"/>
        <v>VALUES('08803912','RequestDetails.aspx', 'USER', '01', '08', 'ABDUL', SYSDATE, '10.6.100.63');</v>
      </c>
      <c r="AO278" s="12" t="str">
        <f t="shared" si="139"/>
        <v>INSERT INTO sy_perm_list (USER_CD, OPT_CD, ACCESS_TYPE, BRANCH_CODE, CLASS_CODE, ENT_BY, ENT_DATE, ENT_BY_IP)</v>
      </c>
      <c r="AP278" s="12" t="str">
        <f t="shared" si="140"/>
        <v>VALUES('08803912','TodaysRequest.aspx', 'USER', '01', '08', 'ABDUL', SYSDATE, '10.6.100.63');</v>
      </c>
    </row>
    <row r="279" spans="1:42" ht="78" thickBot="1" x14ac:dyDescent="0.3">
      <c r="A279" s="37"/>
      <c r="B279" s="37" t="s">
        <v>1293</v>
      </c>
      <c r="C279" s="37"/>
      <c r="D279" s="37"/>
      <c r="E279" s="37"/>
      <c r="F279" s="37"/>
      <c r="G279" s="37"/>
      <c r="H279" s="37"/>
      <c r="I279" s="37"/>
      <c r="J279" s="46" t="s">
        <v>1294</v>
      </c>
      <c r="K279" s="46" t="s">
        <v>1295</v>
      </c>
      <c r="L279" s="74" t="s">
        <v>1296</v>
      </c>
      <c r="M279" s="50" t="s">
        <v>1297</v>
      </c>
      <c r="N279" s="37"/>
      <c r="O279" s="37"/>
      <c r="P279" s="37"/>
      <c r="Q279" s="37"/>
      <c r="R279" s="37"/>
      <c r="S27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79" s="12" t="str">
        <f t="shared" si="142"/>
        <v>VALUES('08804076','Ayoob Textile Mills Limited','Salaam@123','Y','N',sysdate,'016', 'C', 'Client', 'Ahmed','01','B', '08', 'ABDUL', sysdate, '10.6.100.63', '08804076');</v>
      </c>
      <c r="U279" s="12" t="str">
        <f t="shared" si="119"/>
        <v>INSERT INTO sy_user_branches (USER_CD, BRANCH_CODE, CLASS_CODE, ENT_BY, ENT_DATE, ENT_BY_IP)</v>
      </c>
      <c r="V279" s="12" t="str">
        <f t="shared" si="120"/>
        <v>values('08804076','01', '08', 'ABDUL', sysdate, '10.6.100.63');</v>
      </c>
      <c r="W279" s="12" t="str">
        <f t="shared" si="121"/>
        <v>INSERT INTO sy_perm_list (USER_CD, OPT_CD, ACCESS_TYPE, BRANCH_CODE, CLASS_CODE, ENT_BY, ENT_DATE, ENT_BY_IP)</v>
      </c>
      <c r="X279" s="12" t="str">
        <f t="shared" si="122"/>
        <v>VALUES('08804076','ClaimComments.aspx', 'USER', '01', '08', 'ABDUL', SYSDATE, '10.6.100.63');</v>
      </c>
      <c r="Y279" s="12" t="str">
        <f t="shared" si="123"/>
        <v>INSERT INTO sy_perm_list (USER_CD, OPT_CD, ACCESS_TYPE, BRANCH_CODE, CLASS_CODE, ENT_BY, ENT_DATE, ENT_BY_IP)</v>
      </c>
      <c r="Z279" s="12" t="str">
        <f t="shared" si="124"/>
        <v>VALUES('08804076','ClaimDocs.aspx', 'USER', '01', '08', 'ABDUL', SYSDATE, '10.6.100.63');</v>
      </c>
      <c r="AA279" s="12" t="str">
        <f t="shared" si="125"/>
        <v>INSERT INTO sy_perm_list (USER_CD, OPT_CD, ACCESS_TYPE, BRANCH_CODE, CLASS_CODE, ENT_BY, ENT_DATE, ENT_BY_IP)</v>
      </c>
      <c r="AB279" s="12" t="str">
        <f t="shared" si="126"/>
        <v>VALUES('08804076','Client.aspx', 'USER', '01', '08', 'ABDUL', SYSDATE, '10.6.100.63');</v>
      </c>
      <c r="AC279" s="12" t="str">
        <f t="shared" si="127"/>
        <v>INSERT INTO sy_perm_list (USER_CD, OPT_CD, ACCESS_TYPE, BRANCH_CODE, CLASS_CODE, ENT_BY, ENT_DATE, ENT_BY_IP)</v>
      </c>
      <c r="AD279" s="12" t="str">
        <f t="shared" si="128"/>
        <v>VALUES('08804076','ClientReports.aspx', 'USER', '01', '08', 'ABDUL', SYSDATE, '10.6.100.63');</v>
      </c>
      <c r="AE279" s="12" t="str">
        <f t="shared" si="129"/>
        <v>INSERT INTO sy_perm_list (USER_CD, OPT_CD, ACCESS_TYPE, BRANCH_CODE, CLASS_CODE, ENT_BY, ENT_DATE, ENT_BY_IP)</v>
      </c>
      <c r="AF279" s="12" t="str">
        <f t="shared" si="130"/>
        <v>VALUES('08804076','ClientRequests.aspx', 'USER', '01', '08', 'ABDUL', SYSDATE, '10.6.100.63');</v>
      </c>
      <c r="AG279" s="12" t="str">
        <f t="shared" si="131"/>
        <v>INSERT INTO sy_perm_list (USER_CD, OPT_CD, ACCESS_TYPE, BRANCH_CODE, CLASS_CODE, ENT_BY, ENT_DATE, ENT_BY_IP)</v>
      </c>
      <c r="AH279" s="12" t="str">
        <f t="shared" si="132"/>
        <v>VALUES('08804076','HealthLife.aspx', 'USER', '01', '08', 'ABDUL', SYSDATE, '10.6.100.63');</v>
      </c>
      <c r="AI279" s="12" t="str">
        <f t="shared" si="133"/>
        <v>INSERT INTO sy_perm_list (USER_CD, OPT_CD, ACCESS_TYPE, BRANCH_CODE, CLASS_CODE, ENT_BY, ENT_DATE, ENT_BY_IP)</v>
      </c>
      <c r="AJ279" s="12" t="str">
        <f t="shared" si="134"/>
        <v>VALUES('08804076','IpdClaim.aspx', 'USER', '01', '08', 'ABDUL', SYSDATE, '10.6.100.63');</v>
      </c>
      <c r="AK279" s="12" t="str">
        <f t="shared" si="135"/>
        <v>INSERT INTO sy_perm_list (USER_CD, OPT_CD, ACCESS_TYPE, BRANCH_CODE, CLASS_CODE, ENT_BY, ENT_DATE, ENT_BY_IP)</v>
      </c>
      <c r="AL279" s="12" t="str">
        <f t="shared" si="136"/>
        <v>VALUES('08804076','OpdClaim.aspx', 'USER', '01', '08', 'ABDUL', SYSDATE, '10.6.100.63');</v>
      </c>
      <c r="AM279" s="12" t="str">
        <f t="shared" si="137"/>
        <v>INSERT INTO sy_perm_list (USER_CD, OPT_CD, ACCESS_TYPE, BRANCH_CODE, CLASS_CODE, ENT_BY, ENT_DATE, ENT_BY_IP)</v>
      </c>
      <c r="AN279" s="12" t="str">
        <f t="shared" si="138"/>
        <v>VALUES('08804076','RequestDetails.aspx', 'USER', '01', '08', 'ABDUL', SYSDATE, '10.6.100.63');</v>
      </c>
      <c r="AO279" s="12" t="str">
        <f t="shared" si="139"/>
        <v>INSERT INTO sy_perm_list (USER_CD, OPT_CD, ACCESS_TYPE, BRANCH_CODE, CLASS_CODE, ENT_BY, ENT_DATE, ENT_BY_IP)</v>
      </c>
      <c r="AP279" s="12" t="str">
        <f t="shared" si="140"/>
        <v>VALUES('08804076','TodaysRequest.aspx', 'USER', '01', '08', 'ABDUL', SYSDATE, '10.6.100.63');</v>
      </c>
    </row>
    <row r="280" spans="1:42" ht="78" thickBot="1" x14ac:dyDescent="0.3">
      <c r="A280" s="37"/>
      <c r="B280" s="37" t="s">
        <v>1300</v>
      </c>
      <c r="C280" s="37"/>
      <c r="D280" s="37"/>
      <c r="E280" s="37"/>
      <c r="F280" s="37"/>
      <c r="G280" s="37"/>
      <c r="H280" s="37"/>
      <c r="I280" s="37"/>
      <c r="J280" s="54" t="s">
        <v>1301</v>
      </c>
      <c r="K280" s="54" t="s">
        <v>1302</v>
      </c>
      <c r="L280" s="54" t="s">
        <v>193</v>
      </c>
      <c r="M280" s="55" t="s">
        <v>1303</v>
      </c>
      <c r="N280" s="37"/>
      <c r="O280" s="37"/>
      <c r="P280" s="37"/>
      <c r="Q280" s="37"/>
      <c r="R280" s="37"/>
      <c r="S28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0" s="12" t="str">
        <f t="shared" ref="T280:T293" si="143">"VALUES('"&amp;B280&amp;"','"&amp;K280&amp;"','Salaam@123','Y','N',sysdate,'016', 'C', 'Client', '"&amp;L280&amp;"','01','B', '08', 'ABDUL', sysdate, '10.6.100.63', '"&amp;B280&amp;"');"</f>
        <v>VALUES('08804386','Jinshan Chemical Technology (Private) Limited','Salaam@123','Y','N',sysdate,'016', 'C', 'Client', 'Muhammad Farhan','01','B', '08', 'ABDUL', sysdate, '10.6.100.63', '08804386');</v>
      </c>
      <c r="U280" s="12" t="str">
        <f t="shared" si="119"/>
        <v>INSERT INTO sy_user_branches (USER_CD, BRANCH_CODE, CLASS_CODE, ENT_BY, ENT_DATE, ENT_BY_IP)</v>
      </c>
      <c r="V280" s="12" t="str">
        <f t="shared" ref="V280:V293" si="144">"values('"&amp;B280&amp;"','01', '08', 'ABDUL', sysdate, '10.6.100.63');"</f>
        <v>values('08804386','01', '08', 'ABDUL', sysdate, '10.6.100.63');</v>
      </c>
      <c r="W280" s="12" t="str">
        <f t="shared" si="121"/>
        <v>INSERT INTO sy_perm_list (USER_CD, OPT_CD, ACCESS_TYPE, BRANCH_CODE, CLASS_CODE, ENT_BY, ENT_DATE, ENT_BY_IP)</v>
      </c>
      <c r="X280" s="12" t="str">
        <f t="shared" ref="X280:X293" si="145">"VALUES('"&amp;B280&amp;"','ClaimComments.aspx', 'USER', '01', '08', 'ABDUL', SYSDATE, '10.6.100.63');"</f>
        <v>VALUES('08804386','ClaimComments.aspx', 'USER', '01', '08', 'ABDUL', SYSDATE, '10.6.100.63');</v>
      </c>
      <c r="Y280" s="12" t="str">
        <f t="shared" si="123"/>
        <v>INSERT INTO sy_perm_list (USER_CD, OPT_CD, ACCESS_TYPE, BRANCH_CODE, CLASS_CODE, ENT_BY, ENT_DATE, ENT_BY_IP)</v>
      </c>
      <c r="Z280" s="12" t="str">
        <f t="shared" ref="Z280:Z293" si="146">"VALUES('"&amp;B280&amp;"','ClaimDocs.aspx', 'USER', '01', '08', 'ABDUL', SYSDATE, '10.6.100.63');"</f>
        <v>VALUES('08804386','ClaimDocs.aspx', 'USER', '01', '08', 'ABDUL', SYSDATE, '10.6.100.63');</v>
      </c>
      <c r="AA280" s="12" t="str">
        <f t="shared" si="125"/>
        <v>INSERT INTO sy_perm_list (USER_CD, OPT_CD, ACCESS_TYPE, BRANCH_CODE, CLASS_CODE, ENT_BY, ENT_DATE, ENT_BY_IP)</v>
      </c>
      <c r="AB280" s="12" t="str">
        <f t="shared" ref="AB280:AB293" si="147">"VALUES('"&amp;B280&amp;"','Client.aspx', 'USER', '01', '08', 'ABDUL', SYSDATE, '10.6.100.63');"</f>
        <v>VALUES('08804386','Client.aspx', 'USER', '01', '08', 'ABDUL', SYSDATE, '10.6.100.63');</v>
      </c>
      <c r="AC280" s="12" t="str">
        <f t="shared" si="127"/>
        <v>INSERT INTO sy_perm_list (USER_CD, OPT_CD, ACCESS_TYPE, BRANCH_CODE, CLASS_CODE, ENT_BY, ENT_DATE, ENT_BY_IP)</v>
      </c>
      <c r="AD280" s="12" t="str">
        <f t="shared" ref="AD280:AD293" si="148">"VALUES('"&amp;B280&amp;"','ClientReports.aspx', 'USER', '01', '08', 'ABDUL', SYSDATE, '10.6.100.63');"</f>
        <v>VALUES('08804386','ClientReports.aspx', 'USER', '01', '08', 'ABDUL', SYSDATE, '10.6.100.63');</v>
      </c>
      <c r="AE280" s="12" t="str">
        <f t="shared" si="129"/>
        <v>INSERT INTO sy_perm_list (USER_CD, OPT_CD, ACCESS_TYPE, BRANCH_CODE, CLASS_CODE, ENT_BY, ENT_DATE, ENT_BY_IP)</v>
      </c>
      <c r="AF280" s="12" t="str">
        <f t="shared" ref="AF280:AF293" si="149">"VALUES('"&amp;B280&amp;"','ClientRequests.aspx', 'USER', '01', '08', 'ABDUL', SYSDATE, '10.6.100.63');"</f>
        <v>VALUES('08804386','ClientRequests.aspx', 'USER', '01', '08', 'ABDUL', SYSDATE, '10.6.100.63');</v>
      </c>
      <c r="AG280" s="12" t="str">
        <f t="shared" si="131"/>
        <v>INSERT INTO sy_perm_list (USER_CD, OPT_CD, ACCESS_TYPE, BRANCH_CODE, CLASS_CODE, ENT_BY, ENT_DATE, ENT_BY_IP)</v>
      </c>
      <c r="AH280" s="12" t="str">
        <f t="shared" ref="AH280:AH293" si="150">"VALUES('"&amp;B280&amp;"','HealthLife.aspx', 'USER', '01', '08', 'ABDUL', SYSDATE, '10.6.100.63');"</f>
        <v>VALUES('08804386','HealthLife.aspx', 'USER', '01', '08', 'ABDUL', SYSDATE, '10.6.100.63');</v>
      </c>
      <c r="AI280" s="12" t="str">
        <f t="shared" si="133"/>
        <v>INSERT INTO sy_perm_list (USER_CD, OPT_CD, ACCESS_TYPE, BRANCH_CODE, CLASS_CODE, ENT_BY, ENT_DATE, ENT_BY_IP)</v>
      </c>
      <c r="AJ280" s="12" t="str">
        <f t="shared" ref="AJ280:AJ293" si="151">"VALUES('"&amp;B280&amp;"','IpdClaim.aspx', 'USER', '01', '08', 'ABDUL', SYSDATE, '10.6.100.63');"</f>
        <v>VALUES('08804386','IpdClaim.aspx', 'USER', '01', '08', 'ABDUL', SYSDATE, '10.6.100.63');</v>
      </c>
      <c r="AK280" s="12" t="str">
        <f t="shared" si="135"/>
        <v>INSERT INTO sy_perm_list (USER_CD, OPT_CD, ACCESS_TYPE, BRANCH_CODE, CLASS_CODE, ENT_BY, ENT_DATE, ENT_BY_IP)</v>
      </c>
      <c r="AL280" s="12" t="str">
        <f t="shared" ref="AL280:AL293" si="152">"VALUES('"&amp;B280&amp;"','OpdClaim.aspx', 'USER', '01', '08', 'ABDUL', SYSDATE, '10.6.100.63');"</f>
        <v>VALUES('08804386','OpdClaim.aspx', 'USER', '01', '08', 'ABDUL', SYSDATE, '10.6.100.63');</v>
      </c>
      <c r="AM280" s="12" t="str">
        <f t="shared" si="137"/>
        <v>INSERT INTO sy_perm_list (USER_CD, OPT_CD, ACCESS_TYPE, BRANCH_CODE, CLASS_CODE, ENT_BY, ENT_DATE, ENT_BY_IP)</v>
      </c>
      <c r="AN280" s="12" t="str">
        <f t="shared" ref="AN280:AN293" si="153">"VALUES('"&amp;B280&amp;"','RequestDetails.aspx', 'USER', '01', '08', 'ABDUL', SYSDATE, '10.6.100.63');"</f>
        <v>VALUES('08804386','RequestDetails.aspx', 'USER', '01', '08', 'ABDUL', SYSDATE, '10.6.100.63');</v>
      </c>
      <c r="AO280" s="12" t="str">
        <f t="shared" si="139"/>
        <v>INSERT INTO sy_perm_list (USER_CD, OPT_CD, ACCESS_TYPE, BRANCH_CODE, CLASS_CODE, ENT_BY, ENT_DATE, ENT_BY_IP)</v>
      </c>
      <c r="AP280" s="12" t="str">
        <f t="shared" ref="AP280:AP293" si="154">"VALUES('"&amp;B280&amp;"','TodaysRequest.aspx', 'USER', '01', '08', 'ABDUL', SYSDATE, '10.6.100.63');"</f>
        <v>VALUES('08804386','TodaysRequest.aspx', 'USER', '01', '08', 'ABDUL', SYSDATE, '10.6.100.63');</v>
      </c>
    </row>
    <row r="281" spans="1:42" ht="78" thickBot="1" x14ac:dyDescent="0.3">
      <c r="A281" s="37"/>
      <c r="B281" s="37" t="s">
        <v>1304</v>
      </c>
      <c r="C281" s="37"/>
      <c r="D281" s="37"/>
      <c r="E281" s="37"/>
      <c r="F281" s="37"/>
      <c r="G281" s="37"/>
      <c r="H281" s="37"/>
      <c r="I281" s="37"/>
      <c r="J281" s="54" t="s">
        <v>1305</v>
      </c>
      <c r="K281" s="54" t="s">
        <v>1306</v>
      </c>
      <c r="L281" s="54" t="s">
        <v>1307</v>
      </c>
      <c r="M281" s="55" t="s">
        <v>1308</v>
      </c>
      <c r="N281" s="37"/>
      <c r="O281" s="37"/>
      <c r="P281" s="37"/>
      <c r="Q281" s="37"/>
      <c r="R281" s="37"/>
      <c r="S28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1" s="12" t="str">
        <f t="shared" si="143"/>
        <v>VALUES('08803957','Dynamic Shipping Agencies (Private) Limited','Salaam@123','Y','N',sysdate,'016', 'C', 'Client', 'Fahad Khatri','01','B', '08', 'ABDUL', sysdate, '10.6.100.63', '08803957');</v>
      </c>
      <c r="U281" s="12" t="str">
        <f t="shared" si="119"/>
        <v>INSERT INTO sy_user_branches (USER_CD, BRANCH_CODE, CLASS_CODE, ENT_BY, ENT_DATE, ENT_BY_IP)</v>
      </c>
      <c r="V281" s="12" t="str">
        <f t="shared" si="144"/>
        <v>values('08803957','01', '08', 'ABDUL', sysdate, '10.6.100.63');</v>
      </c>
      <c r="W281" s="12" t="str">
        <f t="shared" si="121"/>
        <v>INSERT INTO sy_perm_list (USER_CD, OPT_CD, ACCESS_TYPE, BRANCH_CODE, CLASS_CODE, ENT_BY, ENT_DATE, ENT_BY_IP)</v>
      </c>
      <c r="X281" s="12" t="str">
        <f t="shared" si="145"/>
        <v>VALUES('08803957','ClaimComments.aspx', 'USER', '01', '08', 'ABDUL', SYSDATE, '10.6.100.63');</v>
      </c>
      <c r="Y281" s="12" t="str">
        <f t="shared" si="123"/>
        <v>INSERT INTO sy_perm_list (USER_CD, OPT_CD, ACCESS_TYPE, BRANCH_CODE, CLASS_CODE, ENT_BY, ENT_DATE, ENT_BY_IP)</v>
      </c>
      <c r="Z281" s="12" t="str">
        <f t="shared" si="146"/>
        <v>VALUES('08803957','ClaimDocs.aspx', 'USER', '01', '08', 'ABDUL', SYSDATE, '10.6.100.63');</v>
      </c>
      <c r="AA281" s="12" t="str">
        <f t="shared" si="125"/>
        <v>INSERT INTO sy_perm_list (USER_CD, OPT_CD, ACCESS_TYPE, BRANCH_CODE, CLASS_CODE, ENT_BY, ENT_DATE, ENT_BY_IP)</v>
      </c>
      <c r="AB281" s="12" t="str">
        <f t="shared" si="147"/>
        <v>VALUES('08803957','Client.aspx', 'USER', '01', '08', 'ABDUL', SYSDATE, '10.6.100.63');</v>
      </c>
      <c r="AC281" s="12" t="str">
        <f t="shared" si="127"/>
        <v>INSERT INTO sy_perm_list (USER_CD, OPT_CD, ACCESS_TYPE, BRANCH_CODE, CLASS_CODE, ENT_BY, ENT_DATE, ENT_BY_IP)</v>
      </c>
      <c r="AD281" s="12" t="str">
        <f t="shared" si="148"/>
        <v>VALUES('08803957','ClientReports.aspx', 'USER', '01', '08', 'ABDUL', SYSDATE, '10.6.100.63');</v>
      </c>
      <c r="AE281" s="12" t="str">
        <f t="shared" si="129"/>
        <v>INSERT INTO sy_perm_list (USER_CD, OPT_CD, ACCESS_TYPE, BRANCH_CODE, CLASS_CODE, ENT_BY, ENT_DATE, ENT_BY_IP)</v>
      </c>
      <c r="AF281" s="12" t="str">
        <f t="shared" si="149"/>
        <v>VALUES('08803957','ClientRequests.aspx', 'USER', '01', '08', 'ABDUL', SYSDATE, '10.6.100.63');</v>
      </c>
      <c r="AG281" s="12" t="str">
        <f t="shared" si="131"/>
        <v>INSERT INTO sy_perm_list (USER_CD, OPT_CD, ACCESS_TYPE, BRANCH_CODE, CLASS_CODE, ENT_BY, ENT_DATE, ENT_BY_IP)</v>
      </c>
      <c r="AH281" s="12" t="str">
        <f t="shared" si="150"/>
        <v>VALUES('08803957','HealthLife.aspx', 'USER', '01', '08', 'ABDUL', SYSDATE, '10.6.100.63');</v>
      </c>
      <c r="AI281" s="12" t="str">
        <f t="shared" si="133"/>
        <v>INSERT INTO sy_perm_list (USER_CD, OPT_CD, ACCESS_TYPE, BRANCH_CODE, CLASS_CODE, ENT_BY, ENT_DATE, ENT_BY_IP)</v>
      </c>
      <c r="AJ281" s="12" t="str">
        <f t="shared" si="151"/>
        <v>VALUES('08803957','IpdClaim.aspx', 'USER', '01', '08', 'ABDUL', SYSDATE, '10.6.100.63');</v>
      </c>
      <c r="AK281" s="12" t="str">
        <f t="shared" si="135"/>
        <v>INSERT INTO sy_perm_list (USER_CD, OPT_CD, ACCESS_TYPE, BRANCH_CODE, CLASS_CODE, ENT_BY, ENT_DATE, ENT_BY_IP)</v>
      </c>
      <c r="AL281" s="12" t="str">
        <f t="shared" si="152"/>
        <v>VALUES('08803957','OpdClaim.aspx', 'USER', '01', '08', 'ABDUL', SYSDATE, '10.6.100.63');</v>
      </c>
      <c r="AM281" s="12" t="str">
        <f t="shared" si="137"/>
        <v>INSERT INTO sy_perm_list (USER_CD, OPT_CD, ACCESS_TYPE, BRANCH_CODE, CLASS_CODE, ENT_BY, ENT_DATE, ENT_BY_IP)</v>
      </c>
      <c r="AN281" s="12" t="str">
        <f t="shared" si="153"/>
        <v>VALUES('08803957','RequestDetails.aspx', 'USER', '01', '08', 'ABDUL', SYSDATE, '10.6.100.63');</v>
      </c>
      <c r="AO281" s="12" t="str">
        <f t="shared" si="139"/>
        <v>INSERT INTO sy_perm_list (USER_CD, OPT_CD, ACCESS_TYPE, BRANCH_CODE, CLASS_CODE, ENT_BY, ENT_DATE, ENT_BY_IP)</v>
      </c>
      <c r="AP281" s="12" t="str">
        <f t="shared" si="154"/>
        <v>VALUES('08803957','TodaysRequest.aspx', 'USER', '01', '08', 'ABDUL', SYSDATE, '10.6.100.63');</v>
      </c>
    </row>
    <row r="282" spans="1:42" ht="78" thickBot="1" x14ac:dyDescent="0.3">
      <c r="A282" s="37"/>
      <c r="B282" s="37" t="s">
        <v>1309</v>
      </c>
      <c r="C282" s="37"/>
      <c r="D282" s="37"/>
      <c r="E282" s="37"/>
      <c r="F282" s="37"/>
      <c r="G282" s="37"/>
      <c r="H282" s="37"/>
      <c r="I282" s="37"/>
      <c r="J282" s="46" t="s">
        <v>1311</v>
      </c>
      <c r="K282" s="46" t="s">
        <v>1310</v>
      </c>
      <c r="L282" s="46" t="s">
        <v>1312</v>
      </c>
      <c r="M282" s="42" t="s">
        <v>1313</v>
      </c>
      <c r="N282" s="37"/>
      <c r="O282" s="37"/>
      <c r="P282" s="37"/>
      <c r="Q282" s="37"/>
      <c r="R282" s="37"/>
      <c r="S28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2" s="12" t="str">
        <f t="shared" si="143"/>
        <v>VALUES('08804553','Advanced Laboratories (Private) Limited','Salaam@123','Y','N',sysdate,'016', 'C', 'Client', 'Suraya Ali','01','B', '08', 'ABDUL', sysdate, '10.6.100.63', '08804553');</v>
      </c>
      <c r="U282" s="12" t="str">
        <f t="shared" si="119"/>
        <v>INSERT INTO sy_user_branches (USER_CD, BRANCH_CODE, CLASS_CODE, ENT_BY, ENT_DATE, ENT_BY_IP)</v>
      </c>
      <c r="V282" s="12" t="str">
        <f t="shared" si="144"/>
        <v>values('08804553','01', '08', 'ABDUL', sysdate, '10.6.100.63');</v>
      </c>
      <c r="W282" s="12" t="str">
        <f t="shared" si="121"/>
        <v>INSERT INTO sy_perm_list (USER_CD, OPT_CD, ACCESS_TYPE, BRANCH_CODE, CLASS_CODE, ENT_BY, ENT_DATE, ENT_BY_IP)</v>
      </c>
      <c r="X282" s="12" t="str">
        <f t="shared" si="145"/>
        <v>VALUES('08804553','ClaimComments.aspx', 'USER', '01', '08', 'ABDUL', SYSDATE, '10.6.100.63');</v>
      </c>
      <c r="Y282" s="12" t="str">
        <f t="shared" si="123"/>
        <v>INSERT INTO sy_perm_list (USER_CD, OPT_CD, ACCESS_TYPE, BRANCH_CODE, CLASS_CODE, ENT_BY, ENT_DATE, ENT_BY_IP)</v>
      </c>
      <c r="Z282" s="12" t="str">
        <f t="shared" si="146"/>
        <v>VALUES('08804553','ClaimDocs.aspx', 'USER', '01', '08', 'ABDUL', SYSDATE, '10.6.100.63');</v>
      </c>
      <c r="AA282" s="12" t="str">
        <f t="shared" si="125"/>
        <v>INSERT INTO sy_perm_list (USER_CD, OPT_CD, ACCESS_TYPE, BRANCH_CODE, CLASS_CODE, ENT_BY, ENT_DATE, ENT_BY_IP)</v>
      </c>
      <c r="AB282" s="12" t="str">
        <f t="shared" si="147"/>
        <v>VALUES('08804553','Client.aspx', 'USER', '01', '08', 'ABDUL', SYSDATE, '10.6.100.63');</v>
      </c>
      <c r="AC282" s="12" t="str">
        <f t="shared" si="127"/>
        <v>INSERT INTO sy_perm_list (USER_CD, OPT_CD, ACCESS_TYPE, BRANCH_CODE, CLASS_CODE, ENT_BY, ENT_DATE, ENT_BY_IP)</v>
      </c>
      <c r="AD282" s="12" t="str">
        <f t="shared" si="148"/>
        <v>VALUES('08804553','ClientReports.aspx', 'USER', '01', '08', 'ABDUL', SYSDATE, '10.6.100.63');</v>
      </c>
      <c r="AE282" s="12" t="str">
        <f t="shared" si="129"/>
        <v>INSERT INTO sy_perm_list (USER_CD, OPT_CD, ACCESS_TYPE, BRANCH_CODE, CLASS_CODE, ENT_BY, ENT_DATE, ENT_BY_IP)</v>
      </c>
      <c r="AF282" s="12" t="str">
        <f t="shared" si="149"/>
        <v>VALUES('08804553','ClientRequests.aspx', 'USER', '01', '08', 'ABDUL', SYSDATE, '10.6.100.63');</v>
      </c>
      <c r="AG282" s="12" t="str">
        <f t="shared" si="131"/>
        <v>INSERT INTO sy_perm_list (USER_CD, OPT_CD, ACCESS_TYPE, BRANCH_CODE, CLASS_CODE, ENT_BY, ENT_DATE, ENT_BY_IP)</v>
      </c>
      <c r="AH282" s="12" t="str">
        <f t="shared" si="150"/>
        <v>VALUES('08804553','HealthLife.aspx', 'USER', '01', '08', 'ABDUL', SYSDATE, '10.6.100.63');</v>
      </c>
      <c r="AI282" s="12" t="str">
        <f t="shared" si="133"/>
        <v>INSERT INTO sy_perm_list (USER_CD, OPT_CD, ACCESS_TYPE, BRANCH_CODE, CLASS_CODE, ENT_BY, ENT_DATE, ENT_BY_IP)</v>
      </c>
      <c r="AJ282" s="12" t="str">
        <f t="shared" si="151"/>
        <v>VALUES('08804553','IpdClaim.aspx', 'USER', '01', '08', 'ABDUL', SYSDATE, '10.6.100.63');</v>
      </c>
      <c r="AK282" s="12" t="str">
        <f t="shared" si="135"/>
        <v>INSERT INTO sy_perm_list (USER_CD, OPT_CD, ACCESS_TYPE, BRANCH_CODE, CLASS_CODE, ENT_BY, ENT_DATE, ENT_BY_IP)</v>
      </c>
      <c r="AL282" s="12" t="str">
        <f t="shared" si="152"/>
        <v>VALUES('08804553','OpdClaim.aspx', 'USER', '01', '08', 'ABDUL', SYSDATE, '10.6.100.63');</v>
      </c>
      <c r="AM282" s="12" t="str">
        <f t="shared" si="137"/>
        <v>INSERT INTO sy_perm_list (USER_CD, OPT_CD, ACCESS_TYPE, BRANCH_CODE, CLASS_CODE, ENT_BY, ENT_DATE, ENT_BY_IP)</v>
      </c>
      <c r="AN282" s="12" t="str">
        <f t="shared" si="153"/>
        <v>VALUES('08804553','RequestDetails.aspx', 'USER', '01', '08', 'ABDUL', SYSDATE, '10.6.100.63');</v>
      </c>
      <c r="AO282" s="12" t="str">
        <f t="shared" si="139"/>
        <v>INSERT INTO sy_perm_list (USER_CD, OPT_CD, ACCESS_TYPE, BRANCH_CODE, CLASS_CODE, ENT_BY, ENT_DATE, ENT_BY_IP)</v>
      </c>
      <c r="AP282" s="12" t="str">
        <f t="shared" si="154"/>
        <v>VALUES('08804553','TodaysRequest.aspx', 'USER', '01', '08', 'ABDUL', SYSDATE, '10.6.100.63');</v>
      </c>
    </row>
    <row r="283" spans="1:42" ht="78" thickBot="1" x14ac:dyDescent="0.3">
      <c r="A283" s="37"/>
      <c r="B283" s="37" t="s">
        <v>1314</v>
      </c>
      <c r="C283" s="37"/>
      <c r="D283" s="37"/>
      <c r="E283" s="37"/>
      <c r="F283" s="37"/>
      <c r="G283" s="37"/>
      <c r="H283" s="37"/>
      <c r="I283" s="37"/>
      <c r="J283" s="54" t="s">
        <v>1315</v>
      </c>
      <c r="K283" s="54" t="s">
        <v>1316</v>
      </c>
      <c r="L283" s="54" t="s">
        <v>1317</v>
      </c>
      <c r="M283" s="75" t="s">
        <v>1318</v>
      </c>
      <c r="N283" s="37"/>
      <c r="O283" s="37"/>
      <c r="P283" s="37"/>
      <c r="Q283" s="37"/>
      <c r="R283" s="37"/>
      <c r="S28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3" s="12" t="str">
        <f t="shared" si="143"/>
        <v>VALUES('08804467','Apparel Merchandising Services','Salaam@123','Y','N',sysdate,'016', 'C', 'Client', 'Syeda Aqsa','01','B', '08', 'ABDUL', sysdate, '10.6.100.63', '08804467');</v>
      </c>
      <c r="U283" s="12" t="str">
        <f t="shared" si="119"/>
        <v>INSERT INTO sy_user_branches (USER_CD, BRANCH_CODE, CLASS_CODE, ENT_BY, ENT_DATE, ENT_BY_IP)</v>
      </c>
      <c r="V283" s="12" t="str">
        <f t="shared" si="144"/>
        <v>values('08804467','01', '08', 'ABDUL', sysdate, '10.6.100.63');</v>
      </c>
      <c r="W283" s="12" t="str">
        <f t="shared" si="121"/>
        <v>INSERT INTO sy_perm_list (USER_CD, OPT_CD, ACCESS_TYPE, BRANCH_CODE, CLASS_CODE, ENT_BY, ENT_DATE, ENT_BY_IP)</v>
      </c>
      <c r="X283" s="12" t="str">
        <f t="shared" si="145"/>
        <v>VALUES('08804467','ClaimComments.aspx', 'USER', '01', '08', 'ABDUL', SYSDATE, '10.6.100.63');</v>
      </c>
      <c r="Y283" s="12" t="str">
        <f t="shared" si="123"/>
        <v>INSERT INTO sy_perm_list (USER_CD, OPT_CD, ACCESS_TYPE, BRANCH_CODE, CLASS_CODE, ENT_BY, ENT_DATE, ENT_BY_IP)</v>
      </c>
      <c r="Z283" s="12" t="str">
        <f t="shared" si="146"/>
        <v>VALUES('08804467','ClaimDocs.aspx', 'USER', '01', '08', 'ABDUL', SYSDATE, '10.6.100.63');</v>
      </c>
      <c r="AA283" s="12" t="str">
        <f t="shared" si="125"/>
        <v>INSERT INTO sy_perm_list (USER_CD, OPT_CD, ACCESS_TYPE, BRANCH_CODE, CLASS_CODE, ENT_BY, ENT_DATE, ENT_BY_IP)</v>
      </c>
      <c r="AB283" s="12" t="str">
        <f t="shared" si="147"/>
        <v>VALUES('08804467','Client.aspx', 'USER', '01', '08', 'ABDUL', SYSDATE, '10.6.100.63');</v>
      </c>
      <c r="AC283" s="12" t="str">
        <f t="shared" si="127"/>
        <v>INSERT INTO sy_perm_list (USER_CD, OPT_CD, ACCESS_TYPE, BRANCH_CODE, CLASS_CODE, ENT_BY, ENT_DATE, ENT_BY_IP)</v>
      </c>
      <c r="AD283" s="12" t="str">
        <f t="shared" si="148"/>
        <v>VALUES('08804467','ClientReports.aspx', 'USER', '01', '08', 'ABDUL', SYSDATE, '10.6.100.63');</v>
      </c>
      <c r="AE283" s="12" t="str">
        <f t="shared" si="129"/>
        <v>INSERT INTO sy_perm_list (USER_CD, OPT_CD, ACCESS_TYPE, BRANCH_CODE, CLASS_CODE, ENT_BY, ENT_DATE, ENT_BY_IP)</v>
      </c>
      <c r="AF283" s="12" t="str">
        <f t="shared" si="149"/>
        <v>VALUES('08804467','ClientRequests.aspx', 'USER', '01', '08', 'ABDUL', SYSDATE, '10.6.100.63');</v>
      </c>
      <c r="AG283" s="12" t="str">
        <f t="shared" si="131"/>
        <v>INSERT INTO sy_perm_list (USER_CD, OPT_CD, ACCESS_TYPE, BRANCH_CODE, CLASS_CODE, ENT_BY, ENT_DATE, ENT_BY_IP)</v>
      </c>
      <c r="AH283" s="12" t="str">
        <f t="shared" si="150"/>
        <v>VALUES('08804467','HealthLife.aspx', 'USER', '01', '08', 'ABDUL', SYSDATE, '10.6.100.63');</v>
      </c>
      <c r="AI283" s="12" t="str">
        <f t="shared" si="133"/>
        <v>INSERT INTO sy_perm_list (USER_CD, OPT_CD, ACCESS_TYPE, BRANCH_CODE, CLASS_CODE, ENT_BY, ENT_DATE, ENT_BY_IP)</v>
      </c>
      <c r="AJ283" s="12" t="str">
        <f t="shared" si="151"/>
        <v>VALUES('08804467','IpdClaim.aspx', 'USER', '01', '08', 'ABDUL', SYSDATE, '10.6.100.63');</v>
      </c>
      <c r="AK283" s="12" t="str">
        <f t="shared" si="135"/>
        <v>INSERT INTO sy_perm_list (USER_CD, OPT_CD, ACCESS_TYPE, BRANCH_CODE, CLASS_CODE, ENT_BY, ENT_DATE, ENT_BY_IP)</v>
      </c>
      <c r="AL283" s="12" t="str">
        <f t="shared" si="152"/>
        <v>VALUES('08804467','OpdClaim.aspx', 'USER', '01', '08', 'ABDUL', SYSDATE, '10.6.100.63');</v>
      </c>
      <c r="AM283" s="12" t="str">
        <f t="shared" si="137"/>
        <v>INSERT INTO sy_perm_list (USER_CD, OPT_CD, ACCESS_TYPE, BRANCH_CODE, CLASS_CODE, ENT_BY, ENT_DATE, ENT_BY_IP)</v>
      </c>
      <c r="AN283" s="12" t="str">
        <f t="shared" si="153"/>
        <v>VALUES('08804467','RequestDetails.aspx', 'USER', '01', '08', 'ABDUL', SYSDATE, '10.6.100.63');</v>
      </c>
      <c r="AO283" s="12" t="str">
        <f t="shared" si="139"/>
        <v>INSERT INTO sy_perm_list (USER_CD, OPT_CD, ACCESS_TYPE, BRANCH_CODE, CLASS_CODE, ENT_BY, ENT_DATE, ENT_BY_IP)</v>
      </c>
      <c r="AP283" s="12" t="str">
        <f t="shared" si="154"/>
        <v>VALUES('08804467','TodaysRequest.aspx', 'USER', '01', '08', 'ABDUL', SYSDATE, '10.6.100.63');</v>
      </c>
    </row>
    <row r="284" spans="1:42" ht="78" thickBot="1" x14ac:dyDescent="0.3">
      <c r="A284" s="37"/>
      <c r="B284" s="37" t="s">
        <v>1319</v>
      </c>
      <c r="C284" s="37"/>
      <c r="D284" s="37"/>
      <c r="E284" s="37"/>
      <c r="F284" s="37"/>
      <c r="G284" s="37"/>
      <c r="H284" s="37"/>
      <c r="I284" s="37"/>
      <c r="J284" s="40" t="s">
        <v>1321</v>
      </c>
      <c r="K284" s="40" t="s">
        <v>1320</v>
      </c>
      <c r="L284" s="40" t="s">
        <v>1322</v>
      </c>
      <c r="M284" s="42" t="s">
        <v>1323</v>
      </c>
      <c r="N284" s="37"/>
      <c r="O284" s="37"/>
      <c r="P284" s="37"/>
      <c r="Q284" s="37"/>
      <c r="R284" s="37"/>
      <c r="S28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4" s="12" t="str">
        <f t="shared" si="143"/>
        <v>VALUES('08804671','Shahid Afridi Foundation','Salaam@123','Y','N',sysdate,'016', 'C', 'Client', 'Umair Ahmed','01','B', '08', 'ABDUL', sysdate, '10.6.100.63', '08804671');</v>
      </c>
      <c r="U284" s="12" t="str">
        <f t="shared" si="119"/>
        <v>INSERT INTO sy_user_branches (USER_CD, BRANCH_CODE, CLASS_CODE, ENT_BY, ENT_DATE, ENT_BY_IP)</v>
      </c>
      <c r="V284" s="12" t="str">
        <f t="shared" si="144"/>
        <v>values('08804671','01', '08', 'ABDUL', sysdate, '10.6.100.63');</v>
      </c>
      <c r="W284" s="12" t="str">
        <f t="shared" si="121"/>
        <v>INSERT INTO sy_perm_list (USER_CD, OPT_CD, ACCESS_TYPE, BRANCH_CODE, CLASS_CODE, ENT_BY, ENT_DATE, ENT_BY_IP)</v>
      </c>
      <c r="X284" s="12" t="str">
        <f t="shared" si="145"/>
        <v>VALUES('08804671','ClaimComments.aspx', 'USER', '01', '08', 'ABDUL', SYSDATE, '10.6.100.63');</v>
      </c>
      <c r="Y284" s="12" t="str">
        <f t="shared" si="123"/>
        <v>INSERT INTO sy_perm_list (USER_CD, OPT_CD, ACCESS_TYPE, BRANCH_CODE, CLASS_CODE, ENT_BY, ENT_DATE, ENT_BY_IP)</v>
      </c>
      <c r="Z284" s="12" t="str">
        <f t="shared" si="146"/>
        <v>VALUES('08804671','ClaimDocs.aspx', 'USER', '01', '08', 'ABDUL', SYSDATE, '10.6.100.63');</v>
      </c>
      <c r="AA284" s="12" t="str">
        <f t="shared" si="125"/>
        <v>INSERT INTO sy_perm_list (USER_CD, OPT_CD, ACCESS_TYPE, BRANCH_CODE, CLASS_CODE, ENT_BY, ENT_DATE, ENT_BY_IP)</v>
      </c>
      <c r="AB284" s="12" t="str">
        <f t="shared" si="147"/>
        <v>VALUES('08804671','Client.aspx', 'USER', '01', '08', 'ABDUL', SYSDATE, '10.6.100.63');</v>
      </c>
      <c r="AC284" s="12" t="str">
        <f t="shared" si="127"/>
        <v>INSERT INTO sy_perm_list (USER_CD, OPT_CD, ACCESS_TYPE, BRANCH_CODE, CLASS_CODE, ENT_BY, ENT_DATE, ENT_BY_IP)</v>
      </c>
      <c r="AD284" s="12" t="str">
        <f t="shared" si="148"/>
        <v>VALUES('08804671','ClientReports.aspx', 'USER', '01', '08', 'ABDUL', SYSDATE, '10.6.100.63');</v>
      </c>
      <c r="AE284" s="12" t="str">
        <f t="shared" si="129"/>
        <v>INSERT INTO sy_perm_list (USER_CD, OPT_CD, ACCESS_TYPE, BRANCH_CODE, CLASS_CODE, ENT_BY, ENT_DATE, ENT_BY_IP)</v>
      </c>
      <c r="AF284" s="12" t="str">
        <f t="shared" si="149"/>
        <v>VALUES('08804671','ClientRequests.aspx', 'USER', '01', '08', 'ABDUL', SYSDATE, '10.6.100.63');</v>
      </c>
      <c r="AG284" s="12" t="str">
        <f t="shared" si="131"/>
        <v>INSERT INTO sy_perm_list (USER_CD, OPT_CD, ACCESS_TYPE, BRANCH_CODE, CLASS_CODE, ENT_BY, ENT_DATE, ENT_BY_IP)</v>
      </c>
      <c r="AH284" s="12" t="str">
        <f t="shared" si="150"/>
        <v>VALUES('08804671','HealthLife.aspx', 'USER', '01', '08', 'ABDUL', SYSDATE, '10.6.100.63');</v>
      </c>
      <c r="AI284" s="12" t="str">
        <f t="shared" si="133"/>
        <v>INSERT INTO sy_perm_list (USER_CD, OPT_CD, ACCESS_TYPE, BRANCH_CODE, CLASS_CODE, ENT_BY, ENT_DATE, ENT_BY_IP)</v>
      </c>
      <c r="AJ284" s="12" t="str">
        <f t="shared" si="151"/>
        <v>VALUES('08804671','IpdClaim.aspx', 'USER', '01', '08', 'ABDUL', SYSDATE, '10.6.100.63');</v>
      </c>
      <c r="AK284" s="12" t="str">
        <f t="shared" si="135"/>
        <v>INSERT INTO sy_perm_list (USER_CD, OPT_CD, ACCESS_TYPE, BRANCH_CODE, CLASS_CODE, ENT_BY, ENT_DATE, ENT_BY_IP)</v>
      </c>
      <c r="AL284" s="12" t="str">
        <f t="shared" si="152"/>
        <v>VALUES('08804671','OpdClaim.aspx', 'USER', '01', '08', 'ABDUL', SYSDATE, '10.6.100.63');</v>
      </c>
      <c r="AM284" s="12" t="str">
        <f t="shared" si="137"/>
        <v>INSERT INTO sy_perm_list (USER_CD, OPT_CD, ACCESS_TYPE, BRANCH_CODE, CLASS_CODE, ENT_BY, ENT_DATE, ENT_BY_IP)</v>
      </c>
      <c r="AN284" s="12" t="str">
        <f t="shared" si="153"/>
        <v>VALUES('08804671','RequestDetails.aspx', 'USER', '01', '08', 'ABDUL', SYSDATE, '10.6.100.63');</v>
      </c>
      <c r="AO284" s="12" t="str">
        <f t="shared" si="139"/>
        <v>INSERT INTO sy_perm_list (USER_CD, OPT_CD, ACCESS_TYPE, BRANCH_CODE, CLASS_CODE, ENT_BY, ENT_DATE, ENT_BY_IP)</v>
      </c>
      <c r="AP284" s="12" t="str">
        <f t="shared" si="154"/>
        <v>VALUES('08804671','TodaysRequest.aspx', 'USER', '01', '08', 'ABDUL', SYSDATE, '10.6.100.63');</v>
      </c>
    </row>
    <row r="285" spans="1:42" ht="78" thickBot="1" x14ac:dyDescent="0.3">
      <c r="A285" s="37"/>
      <c r="B285" s="37" t="s">
        <v>1324</v>
      </c>
      <c r="C285" s="37"/>
      <c r="D285" s="37"/>
      <c r="E285" s="37"/>
      <c r="F285" s="37"/>
      <c r="G285" s="37"/>
      <c r="H285" s="37"/>
      <c r="I285" s="37"/>
      <c r="J285" s="46" t="s">
        <v>1325</v>
      </c>
      <c r="K285" s="46" t="s">
        <v>1326</v>
      </c>
      <c r="L285" s="76" t="s">
        <v>1327</v>
      </c>
      <c r="M285" s="11" t="s">
        <v>1328</v>
      </c>
      <c r="N285" s="37"/>
      <c r="O285" s="37"/>
      <c r="P285" s="37"/>
      <c r="Q285" s="37"/>
      <c r="R285" s="37"/>
      <c r="S28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5" s="12" t="str">
        <f t="shared" si="143"/>
        <v>VALUES('08804669','5 STAR DESIGNERS','Salaam@123','Y','N',sysdate,'016', 'C', 'Client', 'Rushna Khan','01','B', '08', 'ABDUL', sysdate, '10.6.100.63', '08804669');</v>
      </c>
      <c r="U285" s="12" t="str">
        <f t="shared" si="119"/>
        <v>INSERT INTO sy_user_branches (USER_CD, BRANCH_CODE, CLASS_CODE, ENT_BY, ENT_DATE, ENT_BY_IP)</v>
      </c>
      <c r="V285" s="12" t="str">
        <f t="shared" si="144"/>
        <v>values('08804669','01', '08', 'ABDUL', sysdate, '10.6.100.63');</v>
      </c>
      <c r="W285" s="12" t="str">
        <f t="shared" si="121"/>
        <v>INSERT INTO sy_perm_list (USER_CD, OPT_CD, ACCESS_TYPE, BRANCH_CODE, CLASS_CODE, ENT_BY, ENT_DATE, ENT_BY_IP)</v>
      </c>
      <c r="X285" s="12" t="str">
        <f t="shared" si="145"/>
        <v>VALUES('08804669','ClaimComments.aspx', 'USER', '01', '08', 'ABDUL', SYSDATE, '10.6.100.63');</v>
      </c>
      <c r="Y285" s="12" t="str">
        <f t="shared" si="123"/>
        <v>INSERT INTO sy_perm_list (USER_CD, OPT_CD, ACCESS_TYPE, BRANCH_CODE, CLASS_CODE, ENT_BY, ENT_DATE, ENT_BY_IP)</v>
      </c>
      <c r="Z285" s="12" t="str">
        <f t="shared" si="146"/>
        <v>VALUES('08804669','ClaimDocs.aspx', 'USER', '01', '08', 'ABDUL', SYSDATE, '10.6.100.63');</v>
      </c>
      <c r="AA285" s="12" t="str">
        <f t="shared" si="125"/>
        <v>INSERT INTO sy_perm_list (USER_CD, OPT_CD, ACCESS_TYPE, BRANCH_CODE, CLASS_CODE, ENT_BY, ENT_DATE, ENT_BY_IP)</v>
      </c>
      <c r="AB285" s="12" t="str">
        <f t="shared" si="147"/>
        <v>VALUES('08804669','Client.aspx', 'USER', '01', '08', 'ABDUL', SYSDATE, '10.6.100.63');</v>
      </c>
      <c r="AC285" s="12" t="str">
        <f t="shared" si="127"/>
        <v>INSERT INTO sy_perm_list (USER_CD, OPT_CD, ACCESS_TYPE, BRANCH_CODE, CLASS_CODE, ENT_BY, ENT_DATE, ENT_BY_IP)</v>
      </c>
      <c r="AD285" s="12" t="str">
        <f t="shared" si="148"/>
        <v>VALUES('08804669','ClientReports.aspx', 'USER', '01', '08', 'ABDUL', SYSDATE, '10.6.100.63');</v>
      </c>
      <c r="AE285" s="12" t="str">
        <f t="shared" si="129"/>
        <v>INSERT INTO sy_perm_list (USER_CD, OPT_CD, ACCESS_TYPE, BRANCH_CODE, CLASS_CODE, ENT_BY, ENT_DATE, ENT_BY_IP)</v>
      </c>
      <c r="AF285" s="12" t="str">
        <f t="shared" si="149"/>
        <v>VALUES('08804669','ClientRequests.aspx', 'USER', '01', '08', 'ABDUL', SYSDATE, '10.6.100.63');</v>
      </c>
      <c r="AG285" s="12" t="str">
        <f t="shared" si="131"/>
        <v>INSERT INTO sy_perm_list (USER_CD, OPT_CD, ACCESS_TYPE, BRANCH_CODE, CLASS_CODE, ENT_BY, ENT_DATE, ENT_BY_IP)</v>
      </c>
      <c r="AH285" s="12" t="str">
        <f t="shared" si="150"/>
        <v>VALUES('08804669','HealthLife.aspx', 'USER', '01', '08', 'ABDUL', SYSDATE, '10.6.100.63');</v>
      </c>
      <c r="AI285" s="12" t="str">
        <f t="shared" si="133"/>
        <v>INSERT INTO sy_perm_list (USER_CD, OPT_CD, ACCESS_TYPE, BRANCH_CODE, CLASS_CODE, ENT_BY, ENT_DATE, ENT_BY_IP)</v>
      </c>
      <c r="AJ285" s="12" t="str">
        <f t="shared" si="151"/>
        <v>VALUES('08804669','IpdClaim.aspx', 'USER', '01', '08', 'ABDUL', SYSDATE, '10.6.100.63');</v>
      </c>
      <c r="AK285" s="12" t="str">
        <f t="shared" si="135"/>
        <v>INSERT INTO sy_perm_list (USER_CD, OPT_CD, ACCESS_TYPE, BRANCH_CODE, CLASS_CODE, ENT_BY, ENT_DATE, ENT_BY_IP)</v>
      </c>
      <c r="AL285" s="12" t="str">
        <f t="shared" si="152"/>
        <v>VALUES('08804669','OpdClaim.aspx', 'USER', '01', '08', 'ABDUL', SYSDATE, '10.6.100.63');</v>
      </c>
      <c r="AM285" s="12" t="str">
        <f t="shared" si="137"/>
        <v>INSERT INTO sy_perm_list (USER_CD, OPT_CD, ACCESS_TYPE, BRANCH_CODE, CLASS_CODE, ENT_BY, ENT_DATE, ENT_BY_IP)</v>
      </c>
      <c r="AN285" s="12" t="str">
        <f t="shared" si="153"/>
        <v>VALUES('08804669','RequestDetails.aspx', 'USER', '01', '08', 'ABDUL', SYSDATE, '10.6.100.63');</v>
      </c>
      <c r="AO285" s="12" t="str">
        <f t="shared" si="139"/>
        <v>INSERT INTO sy_perm_list (USER_CD, OPT_CD, ACCESS_TYPE, BRANCH_CODE, CLASS_CODE, ENT_BY, ENT_DATE, ENT_BY_IP)</v>
      </c>
      <c r="AP285" s="12" t="str">
        <f t="shared" si="154"/>
        <v>VALUES('08804669','TodaysRequest.aspx', 'USER', '01', '08', 'ABDUL', SYSDATE, '10.6.100.63');</v>
      </c>
    </row>
    <row r="286" spans="1:42" ht="78" thickBot="1" x14ac:dyDescent="0.3">
      <c r="A286" s="37"/>
      <c r="B286" s="37" t="s">
        <v>1329</v>
      </c>
      <c r="C286" s="37"/>
      <c r="D286" s="37"/>
      <c r="E286" s="37"/>
      <c r="F286" s="37"/>
      <c r="G286" s="37"/>
      <c r="H286" s="37"/>
      <c r="I286" s="37"/>
      <c r="J286" s="46" t="s">
        <v>1330</v>
      </c>
      <c r="K286" s="46" t="s">
        <v>1331</v>
      </c>
      <c r="L286" s="10" t="s">
        <v>1333</v>
      </c>
      <c r="M286" s="11" t="s">
        <v>1332</v>
      </c>
      <c r="N286" s="37"/>
      <c r="O286" s="37"/>
      <c r="P286" s="37"/>
      <c r="Q286" s="37"/>
      <c r="R286" s="37"/>
      <c r="S28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6" s="12" t="str">
        <f t="shared" si="143"/>
        <v>VALUES('08804249','N N TECHNOLOGIES','Salaam@123','Y','N',sysdate,'016', 'C', 'Client', 'Ramsha Ali ','01','B', '08', 'ABDUL', sysdate, '10.6.100.63', '08804249');</v>
      </c>
      <c r="U286" s="12" t="str">
        <f t="shared" si="119"/>
        <v>INSERT INTO sy_user_branches (USER_CD, BRANCH_CODE, CLASS_CODE, ENT_BY, ENT_DATE, ENT_BY_IP)</v>
      </c>
      <c r="V286" s="12" t="str">
        <f t="shared" si="144"/>
        <v>values('08804249','01', '08', 'ABDUL', sysdate, '10.6.100.63');</v>
      </c>
      <c r="W286" s="12" t="str">
        <f t="shared" si="121"/>
        <v>INSERT INTO sy_perm_list (USER_CD, OPT_CD, ACCESS_TYPE, BRANCH_CODE, CLASS_CODE, ENT_BY, ENT_DATE, ENT_BY_IP)</v>
      </c>
      <c r="X286" s="12" t="str">
        <f t="shared" si="145"/>
        <v>VALUES('08804249','ClaimComments.aspx', 'USER', '01', '08', 'ABDUL', SYSDATE, '10.6.100.63');</v>
      </c>
      <c r="Y286" s="12" t="str">
        <f t="shared" si="123"/>
        <v>INSERT INTO sy_perm_list (USER_CD, OPT_CD, ACCESS_TYPE, BRANCH_CODE, CLASS_CODE, ENT_BY, ENT_DATE, ENT_BY_IP)</v>
      </c>
      <c r="Z286" s="12" t="str">
        <f t="shared" si="146"/>
        <v>VALUES('08804249','ClaimDocs.aspx', 'USER', '01', '08', 'ABDUL', SYSDATE, '10.6.100.63');</v>
      </c>
      <c r="AA286" s="12" t="str">
        <f t="shared" si="125"/>
        <v>INSERT INTO sy_perm_list (USER_CD, OPT_CD, ACCESS_TYPE, BRANCH_CODE, CLASS_CODE, ENT_BY, ENT_DATE, ENT_BY_IP)</v>
      </c>
      <c r="AB286" s="12" t="str">
        <f t="shared" si="147"/>
        <v>VALUES('08804249','Client.aspx', 'USER', '01', '08', 'ABDUL', SYSDATE, '10.6.100.63');</v>
      </c>
      <c r="AC286" s="12" t="str">
        <f t="shared" si="127"/>
        <v>INSERT INTO sy_perm_list (USER_CD, OPT_CD, ACCESS_TYPE, BRANCH_CODE, CLASS_CODE, ENT_BY, ENT_DATE, ENT_BY_IP)</v>
      </c>
      <c r="AD286" s="12" t="str">
        <f t="shared" si="148"/>
        <v>VALUES('08804249','ClientReports.aspx', 'USER', '01', '08', 'ABDUL', SYSDATE, '10.6.100.63');</v>
      </c>
      <c r="AE286" s="12" t="str">
        <f t="shared" si="129"/>
        <v>INSERT INTO sy_perm_list (USER_CD, OPT_CD, ACCESS_TYPE, BRANCH_CODE, CLASS_CODE, ENT_BY, ENT_DATE, ENT_BY_IP)</v>
      </c>
      <c r="AF286" s="12" t="str">
        <f t="shared" si="149"/>
        <v>VALUES('08804249','ClientRequests.aspx', 'USER', '01', '08', 'ABDUL', SYSDATE, '10.6.100.63');</v>
      </c>
      <c r="AG286" s="12" t="str">
        <f t="shared" si="131"/>
        <v>INSERT INTO sy_perm_list (USER_CD, OPT_CD, ACCESS_TYPE, BRANCH_CODE, CLASS_CODE, ENT_BY, ENT_DATE, ENT_BY_IP)</v>
      </c>
      <c r="AH286" s="12" t="str">
        <f t="shared" si="150"/>
        <v>VALUES('08804249','HealthLife.aspx', 'USER', '01', '08', 'ABDUL', SYSDATE, '10.6.100.63');</v>
      </c>
      <c r="AI286" s="12" t="str">
        <f t="shared" si="133"/>
        <v>INSERT INTO sy_perm_list (USER_CD, OPT_CD, ACCESS_TYPE, BRANCH_CODE, CLASS_CODE, ENT_BY, ENT_DATE, ENT_BY_IP)</v>
      </c>
      <c r="AJ286" s="12" t="str">
        <f t="shared" si="151"/>
        <v>VALUES('08804249','IpdClaim.aspx', 'USER', '01', '08', 'ABDUL', SYSDATE, '10.6.100.63');</v>
      </c>
      <c r="AK286" s="12" t="str">
        <f t="shared" si="135"/>
        <v>INSERT INTO sy_perm_list (USER_CD, OPT_CD, ACCESS_TYPE, BRANCH_CODE, CLASS_CODE, ENT_BY, ENT_DATE, ENT_BY_IP)</v>
      </c>
      <c r="AL286" s="12" t="str">
        <f t="shared" si="152"/>
        <v>VALUES('08804249','OpdClaim.aspx', 'USER', '01', '08', 'ABDUL', SYSDATE, '10.6.100.63');</v>
      </c>
      <c r="AM286" s="12" t="str">
        <f t="shared" si="137"/>
        <v>INSERT INTO sy_perm_list (USER_CD, OPT_CD, ACCESS_TYPE, BRANCH_CODE, CLASS_CODE, ENT_BY, ENT_DATE, ENT_BY_IP)</v>
      </c>
      <c r="AN286" s="12" t="str">
        <f t="shared" si="153"/>
        <v>VALUES('08804249','RequestDetails.aspx', 'USER', '01', '08', 'ABDUL', SYSDATE, '10.6.100.63');</v>
      </c>
      <c r="AO286" s="12" t="str">
        <f t="shared" si="139"/>
        <v>INSERT INTO sy_perm_list (USER_CD, OPT_CD, ACCESS_TYPE, BRANCH_CODE, CLASS_CODE, ENT_BY, ENT_DATE, ENT_BY_IP)</v>
      </c>
      <c r="AP286" s="12" t="str">
        <f t="shared" si="154"/>
        <v>VALUES('08804249','TodaysRequest.aspx', 'USER', '01', '08', 'ABDUL', SYSDATE, '10.6.100.63');</v>
      </c>
    </row>
    <row r="287" spans="1:42" ht="78" thickBot="1" x14ac:dyDescent="0.3">
      <c r="A287" s="37"/>
      <c r="B287" s="56" t="s">
        <v>1334</v>
      </c>
      <c r="C287" s="37"/>
      <c r="D287" s="37"/>
      <c r="E287" s="37"/>
      <c r="F287" s="37"/>
      <c r="G287" s="37"/>
      <c r="H287" s="37"/>
      <c r="I287" s="37"/>
      <c r="J287" s="46" t="s">
        <v>1336</v>
      </c>
      <c r="K287" s="46" t="s">
        <v>1338</v>
      </c>
      <c r="L287" s="36" t="s">
        <v>1342</v>
      </c>
      <c r="M287" s="42" t="s">
        <v>1339</v>
      </c>
      <c r="N287" s="37"/>
      <c r="O287" s="37"/>
      <c r="P287" s="37"/>
      <c r="Q287" s="37"/>
      <c r="R287" s="37"/>
      <c r="S28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7" s="12" t="str">
        <f t="shared" si="143"/>
        <v>VALUES('08804017','Alfa Adhi Securities (Private) Limited','Salaam@123','Y','N',sysdate,'016', 'C', 'Client', 'Jehangir ','01','B', '08', 'ABDUL', sysdate, '10.6.100.63', '08804017');</v>
      </c>
      <c r="U287" s="12" t="str">
        <f t="shared" si="119"/>
        <v>INSERT INTO sy_user_branches (USER_CD, BRANCH_CODE, CLASS_CODE, ENT_BY, ENT_DATE, ENT_BY_IP)</v>
      </c>
      <c r="V287" s="12" t="str">
        <f t="shared" si="144"/>
        <v>values('08804017','01', '08', 'ABDUL', sysdate, '10.6.100.63');</v>
      </c>
      <c r="W287" s="12" t="str">
        <f t="shared" si="121"/>
        <v>INSERT INTO sy_perm_list (USER_CD, OPT_CD, ACCESS_TYPE, BRANCH_CODE, CLASS_CODE, ENT_BY, ENT_DATE, ENT_BY_IP)</v>
      </c>
      <c r="X287" s="12" t="str">
        <f t="shared" si="145"/>
        <v>VALUES('08804017','ClaimComments.aspx', 'USER', '01', '08', 'ABDUL', SYSDATE, '10.6.100.63');</v>
      </c>
      <c r="Y287" s="12" t="str">
        <f t="shared" si="123"/>
        <v>INSERT INTO sy_perm_list (USER_CD, OPT_CD, ACCESS_TYPE, BRANCH_CODE, CLASS_CODE, ENT_BY, ENT_DATE, ENT_BY_IP)</v>
      </c>
      <c r="Z287" s="12" t="str">
        <f t="shared" si="146"/>
        <v>VALUES('08804017','ClaimDocs.aspx', 'USER', '01', '08', 'ABDUL', SYSDATE, '10.6.100.63');</v>
      </c>
      <c r="AA287" s="12" t="str">
        <f t="shared" si="125"/>
        <v>INSERT INTO sy_perm_list (USER_CD, OPT_CD, ACCESS_TYPE, BRANCH_CODE, CLASS_CODE, ENT_BY, ENT_DATE, ENT_BY_IP)</v>
      </c>
      <c r="AB287" s="12" t="str">
        <f t="shared" si="147"/>
        <v>VALUES('08804017','Client.aspx', 'USER', '01', '08', 'ABDUL', SYSDATE, '10.6.100.63');</v>
      </c>
      <c r="AC287" s="12" t="str">
        <f t="shared" si="127"/>
        <v>INSERT INTO sy_perm_list (USER_CD, OPT_CD, ACCESS_TYPE, BRANCH_CODE, CLASS_CODE, ENT_BY, ENT_DATE, ENT_BY_IP)</v>
      </c>
      <c r="AD287" s="12" t="str">
        <f t="shared" si="148"/>
        <v>VALUES('08804017','ClientReports.aspx', 'USER', '01', '08', 'ABDUL', SYSDATE, '10.6.100.63');</v>
      </c>
      <c r="AE287" s="12" t="str">
        <f t="shared" si="129"/>
        <v>INSERT INTO sy_perm_list (USER_CD, OPT_CD, ACCESS_TYPE, BRANCH_CODE, CLASS_CODE, ENT_BY, ENT_DATE, ENT_BY_IP)</v>
      </c>
      <c r="AF287" s="12" t="str">
        <f t="shared" si="149"/>
        <v>VALUES('08804017','ClientRequests.aspx', 'USER', '01', '08', 'ABDUL', SYSDATE, '10.6.100.63');</v>
      </c>
      <c r="AG287" s="12" t="str">
        <f t="shared" si="131"/>
        <v>INSERT INTO sy_perm_list (USER_CD, OPT_CD, ACCESS_TYPE, BRANCH_CODE, CLASS_CODE, ENT_BY, ENT_DATE, ENT_BY_IP)</v>
      </c>
      <c r="AH287" s="12" t="str">
        <f t="shared" si="150"/>
        <v>VALUES('08804017','HealthLife.aspx', 'USER', '01', '08', 'ABDUL', SYSDATE, '10.6.100.63');</v>
      </c>
      <c r="AI287" s="12" t="str">
        <f t="shared" si="133"/>
        <v>INSERT INTO sy_perm_list (USER_CD, OPT_CD, ACCESS_TYPE, BRANCH_CODE, CLASS_CODE, ENT_BY, ENT_DATE, ENT_BY_IP)</v>
      </c>
      <c r="AJ287" s="12" t="str">
        <f t="shared" si="151"/>
        <v>VALUES('08804017','IpdClaim.aspx', 'USER', '01', '08', 'ABDUL', SYSDATE, '10.6.100.63');</v>
      </c>
      <c r="AK287" s="12" t="str">
        <f t="shared" si="135"/>
        <v>INSERT INTO sy_perm_list (USER_CD, OPT_CD, ACCESS_TYPE, BRANCH_CODE, CLASS_CODE, ENT_BY, ENT_DATE, ENT_BY_IP)</v>
      </c>
      <c r="AL287" s="12" t="str">
        <f t="shared" si="152"/>
        <v>VALUES('08804017','OpdClaim.aspx', 'USER', '01', '08', 'ABDUL', SYSDATE, '10.6.100.63');</v>
      </c>
      <c r="AM287" s="12" t="str">
        <f t="shared" si="137"/>
        <v>INSERT INTO sy_perm_list (USER_CD, OPT_CD, ACCESS_TYPE, BRANCH_CODE, CLASS_CODE, ENT_BY, ENT_DATE, ENT_BY_IP)</v>
      </c>
      <c r="AN287" s="12" t="str">
        <f t="shared" si="153"/>
        <v>VALUES('08804017','RequestDetails.aspx', 'USER', '01', '08', 'ABDUL', SYSDATE, '10.6.100.63');</v>
      </c>
      <c r="AO287" s="12" t="str">
        <f t="shared" si="139"/>
        <v>INSERT INTO sy_perm_list (USER_CD, OPT_CD, ACCESS_TYPE, BRANCH_CODE, CLASS_CODE, ENT_BY, ENT_DATE, ENT_BY_IP)</v>
      </c>
      <c r="AP287" s="12" t="str">
        <f t="shared" si="154"/>
        <v>VALUES('08804017','TodaysRequest.aspx', 'USER', '01', '08', 'ABDUL', SYSDATE, '10.6.100.63');</v>
      </c>
    </row>
    <row r="288" spans="1:42" ht="78" thickBot="1" x14ac:dyDescent="0.3">
      <c r="A288" s="37"/>
      <c r="B288" s="56" t="s">
        <v>1335</v>
      </c>
      <c r="C288" s="37"/>
      <c r="D288" s="37"/>
      <c r="E288" s="37"/>
      <c r="F288" s="37"/>
      <c r="G288" s="37"/>
      <c r="H288" s="37"/>
      <c r="I288" s="37"/>
      <c r="J288" s="46" t="s">
        <v>1337</v>
      </c>
      <c r="K288" s="46" t="s">
        <v>1340</v>
      </c>
      <c r="L288" s="36" t="s">
        <v>1343</v>
      </c>
      <c r="M288" s="42" t="s">
        <v>1341</v>
      </c>
      <c r="N288" s="37"/>
      <c r="O288" s="37"/>
      <c r="P288" s="37"/>
      <c r="Q288" s="37"/>
      <c r="R288" s="37"/>
      <c r="S28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8" s="12" t="str">
        <f t="shared" si="143"/>
        <v>VALUES('08804012','Technical Enterprises','Salaam@123','Y','N',sysdate,'016', 'C', 'Client', 'Ali Kausar ','01','B', '08', 'ABDUL', sysdate, '10.6.100.63', '08804012');</v>
      </c>
      <c r="U288" s="12" t="str">
        <f t="shared" si="119"/>
        <v>INSERT INTO sy_user_branches (USER_CD, BRANCH_CODE, CLASS_CODE, ENT_BY, ENT_DATE, ENT_BY_IP)</v>
      </c>
      <c r="V288" s="12" t="str">
        <f t="shared" si="144"/>
        <v>values('08804012','01', '08', 'ABDUL', sysdate, '10.6.100.63');</v>
      </c>
      <c r="W288" s="12" t="str">
        <f t="shared" si="121"/>
        <v>INSERT INTO sy_perm_list (USER_CD, OPT_CD, ACCESS_TYPE, BRANCH_CODE, CLASS_CODE, ENT_BY, ENT_DATE, ENT_BY_IP)</v>
      </c>
      <c r="X288" s="12" t="str">
        <f t="shared" si="145"/>
        <v>VALUES('08804012','ClaimComments.aspx', 'USER', '01', '08', 'ABDUL', SYSDATE, '10.6.100.63');</v>
      </c>
      <c r="Y288" s="12" t="str">
        <f t="shared" si="123"/>
        <v>INSERT INTO sy_perm_list (USER_CD, OPT_CD, ACCESS_TYPE, BRANCH_CODE, CLASS_CODE, ENT_BY, ENT_DATE, ENT_BY_IP)</v>
      </c>
      <c r="Z288" s="12" t="str">
        <f t="shared" si="146"/>
        <v>VALUES('08804012','ClaimDocs.aspx', 'USER', '01', '08', 'ABDUL', SYSDATE, '10.6.100.63');</v>
      </c>
      <c r="AA288" s="12" t="str">
        <f t="shared" si="125"/>
        <v>INSERT INTO sy_perm_list (USER_CD, OPT_CD, ACCESS_TYPE, BRANCH_CODE, CLASS_CODE, ENT_BY, ENT_DATE, ENT_BY_IP)</v>
      </c>
      <c r="AB288" s="12" t="str">
        <f t="shared" si="147"/>
        <v>VALUES('08804012','Client.aspx', 'USER', '01', '08', 'ABDUL', SYSDATE, '10.6.100.63');</v>
      </c>
      <c r="AC288" s="12" t="str">
        <f t="shared" si="127"/>
        <v>INSERT INTO sy_perm_list (USER_CD, OPT_CD, ACCESS_TYPE, BRANCH_CODE, CLASS_CODE, ENT_BY, ENT_DATE, ENT_BY_IP)</v>
      </c>
      <c r="AD288" s="12" t="str">
        <f t="shared" si="148"/>
        <v>VALUES('08804012','ClientReports.aspx', 'USER', '01', '08', 'ABDUL', SYSDATE, '10.6.100.63');</v>
      </c>
      <c r="AE288" s="12" t="str">
        <f t="shared" si="129"/>
        <v>INSERT INTO sy_perm_list (USER_CD, OPT_CD, ACCESS_TYPE, BRANCH_CODE, CLASS_CODE, ENT_BY, ENT_DATE, ENT_BY_IP)</v>
      </c>
      <c r="AF288" s="12" t="str">
        <f t="shared" si="149"/>
        <v>VALUES('08804012','ClientRequests.aspx', 'USER', '01', '08', 'ABDUL', SYSDATE, '10.6.100.63');</v>
      </c>
      <c r="AG288" s="12" t="str">
        <f t="shared" si="131"/>
        <v>INSERT INTO sy_perm_list (USER_CD, OPT_CD, ACCESS_TYPE, BRANCH_CODE, CLASS_CODE, ENT_BY, ENT_DATE, ENT_BY_IP)</v>
      </c>
      <c r="AH288" s="12" t="str">
        <f t="shared" si="150"/>
        <v>VALUES('08804012','HealthLife.aspx', 'USER', '01', '08', 'ABDUL', SYSDATE, '10.6.100.63');</v>
      </c>
      <c r="AI288" s="12" t="str">
        <f t="shared" si="133"/>
        <v>INSERT INTO sy_perm_list (USER_CD, OPT_CD, ACCESS_TYPE, BRANCH_CODE, CLASS_CODE, ENT_BY, ENT_DATE, ENT_BY_IP)</v>
      </c>
      <c r="AJ288" s="12" t="str">
        <f t="shared" si="151"/>
        <v>VALUES('08804012','IpdClaim.aspx', 'USER', '01', '08', 'ABDUL', SYSDATE, '10.6.100.63');</v>
      </c>
      <c r="AK288" s="12" t="str">
        <f t="shared" si="135"/>
        <v>INSERT INTO sy_perm_list (USER_CD, OPT_CD, ACCESS_TYPE, BRANCH_CODE, CLASS_CODE, ENT_BY, ENT_DATE, ENT_BY_IP)</v>
      </c>
      <c r="AL288" s="12" t="str">
        <f t="shared" si="152"/>
        <v>VALUES('08804012','OpdClaim.aspx', 'USER', '01', '08', 'ABDUL', SYSDATE, '10.6.100.63');</v>
      </c>
      <c r="AM288" s="12" t="str">
        <f t="shared" si="137"/>
        <v>INSERT INTO sy_perm_list (USER_CD, OPT_CD, ACCESS_TYPE, BRANCH_CODE, CLASS_CODE, ENT_BY, ENT_DATE, ENT_BY_IP)</v>
      </c>
      <c r="AN288" s="12" t="str">
        <f t="shared" si="153"/>
        <v>VALUES('08804012','RequestDetails.aspx', 'USER', '01', '08', 'ABDUL', SYSDATE, '10.6.100.63');</v>
      </c>
      <c r="AO288" s="12" t="str">
        <f t="shared" si="139"/>
        <v>INSERT INTO sy_perm_list (USER_CD, OPT_CD, ACCESS_TYPE, BRANCH_CODE, CLASS_CODE, ENT_BY, ENT_DATE, ENT_BY_IP)</v>
      </c>
      <c r="AP288" s="12" t="str">
        <f t="shared" si="154"/>
        <v>VALUES('08804012','TodaysRequest.aspx', 'USER', '01', '08', 'ABDUL', SYSDATE, '10.6.100.63');</v>
      </c>
    </row>
    <row r="289" spans="1:42" ht="78" thickBot="1" x14ac:dyDescent="0.3">
      <c r="A289" s="37"/>
      <c r="B289" s="37" t="s">
        <v>1355</v>
      </c>
      <c r="C289" s="37"/>
      <c r="D289" s="37"/>
      <c r="E289" s="37"/>
      <c r="F289" s="37"/>
      <c r="G289" s="37"/>
      <c r="H289" s="37"/>
      <c r="I289" s="37"/>
      <c r="J289" s="46" t="s">
        <v>1344</v>
      </c>
      <c r="K289" s="46" t="s">
        <v>1348</v>
      </c>
      <c r="L289" s="36" t="s">
        <v>1352</v>
      </c>
      <c r="M289" s="42" t="s">
        <v>1353</v>
      </c>
      <c r="N289" s="37"/>
      <c r="O289" s="37"/>
      <c r="P289" s="37"/>
      <c r="Q289" s="37"/>
      <c r="R289" s="37"/>
      <c r="S28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89" s="12" t="str">
        <f t="shared" si="143"/>
        <v>VALUES('08804423','MARVEL ENTERPRISE','Salaam@123','Y','N',sysdate,'016', 'C', 'Client', 'Syed Misbah Uddin ','01','B', '08', 'ABDUL', sysdate, '10.6.100.63', '08804423');</v>
      </c>
      <c r="U289" s="12" t="str">
        <f t="shared" si="119"/>
        <v>INSERT INTO sy_user_branches (USER_CD, BRANCH_CODE, CLASS_CODE, ENT_BY, ENT_DATE, ENT_BY_IP)</v>
      </c>
      <c r="V289" s="12" t="str">
        <f t="shared" si="144"/>
        <v>values('08804423','01', '08', 'ABDUL', sysdate, '10.6.100.63');</v>
      </c>
      <c r="W289" s="12" t="str">
        <f t="shared" si="121"/>
        <v>INSERT INTO sy_perm_list (USER_CD, OPT_CD, ACCESS_TYPE, BRANCH_CODE, CLASS_CODE, ENT_BY, ENT_DATE, ENT_BY_IP)</v>
      </c>
      <c r="X289" s="12" t="str">
        <f t="shared" si="145"/>
        <v>VALUES('08804423','ClaimComments.aspx', 'USER', '01', '08', 'ABDUL', SYSDATE, '10.6.100.63');</v>
      </c>
      <c r="Y289" s="12" t="str">
        <f t="shared" si="123"/>
        <v>INSERT INTO sy_perm_list (USER_CD, OPT_CD, ACCESS_TYPE, BRANCH_CODE, CLASS_CODE, ENT_BY, ENT_DATE, ENT_BY_IP)</v>
      </c>
      <c r="Z289" s="12" t="str">
        <f t="shared" si="146"/>
        <v>VALUES('08804423','ClaimDocs.aspx', 'USER', '01', '08', 'ABDUL', SYSDATE, '10.6.100.63');</v>
      </c>
      <c r="AA289" s="12" t="str">
        <f t="shared" si="125"/>
        <v>INSERT INTO sy_perm_list (USER_CD, OPT_CD, ACCESS_TYPE, BRANCH_CODE, CLASS_CODE, ENT_BY, ENT_DATE, ENT_BY_IP)</v>
      </c>
      <c r="AB289" s="12" t="str">
        <f t="shared" si="147"/>
        <v>VALUES('08804423','Client.aspx', 'USER', '01', '08', 'ABDUL', SYSDATE, '10.6.100.63');</v>
      </c>
      <c r="AC289" s="12" t="str">
        <f t="shared" si="127"/>
        <v>INSERT INTO sy_perm_list (USER_CD, OPT_CD, ACCESS_TYPE, BRANCH_CODE, CLASS_CODE, ENT_BY, ENT_DATE, ENT_BY_IP)</v>
      </c>
      <c r="AD289" s="12" t="str">
        <f t="shared" si="148"/>
        <v>VALUES('08804423','ClientReports.aspx', 'USER', '01', '08', 'ABDUL', SYSDATE, '10.6.100.63');</v>
      </c>
      <c r="AE289" s="12" t="str">
        <f t="shared" si="129"/>
        <v>INSERT INTO sy_perm_list (USER_CD, OPT_CD, ACCESS_TYPE, BRANCH_CODE, CLASS_CODE, ENT_BY, ENT_DATE, ENT_BY_IP)</v>
      </c>
      <c r="AF289" s="12" t="str">
        <f t="shared" si="149"/>
        <v>VALUES('08804423','ClientRequests.aspx', 'USER', '01', '08', 'ABDUL', SYSDATE, '10.6.100.63');</v>
      </c>
      <c r="AG289" s="12" t="str">
        <f t="shared" si="131"/>
        <v>INSERT INTO sy_perm_list (USER_CD, OPT_CD, ACCESS_TYPE, BRANCH_CODE, CLASS_CODE, ENT_BY, ENT_DATE, ENT_BY_IP)</v>
      </c>
      <c r="AH289" s="12" t="str">
        <f t="shared" si="150"/>
        <v>VALUES('08804423','HealthLife.aspx', 'USER', '01', '08', 'ABDUL', SYSDATE, '10.6.100.63');</v>
      </c>
      <c r="AI289" s="12" t="str">
        <f t="shared" si="133"/>
        <v>INSERT INTO sy_perm_list (USER_CD, OPT_CD, ACCESS_TYPE, BRANCH_CODE, CLASS_CODE, ENT_BY, ENT_DATE, ENT_BY_IP)</v>
      </c>
      <c r="AJ289" s="12" t="str">
        <f t="shared" si="151"/>
        <v>VALUES('08804423','IpdClaim.aspx', 'USER', '01', '08', 'ABDUL', SYSDATE, '10.6.100.63');</v>
      </c>
      <c r="AK289" s="12" t="str">
        <f t="shared" si="135"/>
        <v>INSERT INTO sy_perm_list (USER_CD, OPT_CD, ACCESS_TYPE, BRANCH_CODE, CLASS_CODE, ENT_BY, ENT_DATE, ENT_BY_IP)</v>
      </c>
      <c r="AL289" s="12" t="str">
        <f t="shared" si="152"/>
        <v>VALUES('08804423','OpdClaim.aspx', 'USER', '01', '08', 'ABDUL', SYSDATE, '10.6.100.63');</v>
      </c>
      <c r="AM289" s="12" t="str">
        <f t="shared" si="137"/>
        <v>INSERT INTO sy_perm_list (USER_CD, OPT_CD, ACCESS_TYPE, BRANCH_CODE, CLASS_CODE, ENT_BY, ENT_DATE, ENT_BY_IP)</v>
      </c>
      <c r="AN289" s="12" t="str">
        <f t="shared" si="153"/>
        <v>VALUES('08804423','RequestDetails.aspx', 'USER', '01', '08', 'ABDUL', SYSDATE, '10.6.100.63');</v>
      </c>
      <c r="AO289" s="12" t="str">
        <f t="shared" si="139"/>
        <v>INSERT INTO sy_perm_list (USER_CD, OPT_CD, ACCESS_TYPE, BRANCH_CODE, CLASS_CODE, ENT_BY, ENT_DATE, ENT_BY_IP)</v>
      </c>
      <c r="AP289" s="12" t="str">
        <f t="shared" si="154"/>
        <v>VALUES('08804423','TodaysRequest.aspx', 'USER', '01', '08', 'ABDUL', SYSDATE, '10.6.100.63');</v>
      </c>
    </row>
    <row r="290" spans="1:42" ht="78" thickBot="1" x14ac:dyDescent="0.3">
      <c r="A290" s="37"/>
      <c r="B290" s="37" t="s">
        <v>1356</v>
      </c>
      <c r="C290" s="37"/>
      <c r="D290" s="37"/>
      <c r="E290" s="37"/>
      <c r="F290" s="37"/>
      <c r="G290" s="37"/>
      <c r="H290" s="37"/>
      <c r="I290" s="37"/>
      <c r="J290" s="46" t="s">
        <v>1345</v>
      </c>
      <c r="K290" s="46" t="s">
        <v>1349</v>
      </c>
      <c r="L290" s="36" t="s">
        <v>1352</v>
      </c>
      <c r="M290" s="42" t="s">
        <v>1353</v>
      </c>
      <c r="N290" s="37"/>
      <c r="O290" s="37"/>
      <c r="P290" s="37"/>
      <c r="Q290" s="37"/>
      <c r="R290" s="37"/>
      <c r="S29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0" s="12" t="str">
        <f t="shared" si="143"/>
        <v>VALUES('08804424','H.Z.M. Marmi &amp; Pietre (SMC-Private) Limited','Salaam@123','Y','N',sysdate,'016', 'C', 'Client', 'Syed Misbah Uddin ','01','B', '08', 'ABDUL', sysdate, '10.6.100.63', '08804424');</v>
      </c>
      <c r="U290" s="12" t="str">
        <f t="shared" si="119"/>
        <v>INSERT INTO sy_user_branches (USER_CD, BRANCH_CODE, CLASS_CODE, ENT_BY, ENT_DATE, ENT_BY_IP)</v>
      </c>
      <c r="V290" s="12" t="str">
        <f t="shared" si="144"/>
        <v>values('08804424','01', '08', 'ABDUL', sysdate, '10.6.100.63');</v>
      </c>
      <c r="W290" s="12" t="str">
        <f t="shared" si="121"/>
        <v>INSERT INTO sy_perm_list (USER_CD, OPT_CD, ACCESS_TYPE, BRANCH_CODE, CLASS_CODE, ENT_BY, ENT_DATE, ENT_BY_IP)</v>
      </c>
      <c r="X290" s="12" t="str">
        <f t="shared" si="145"/>
        <v>VALUES('08804424','ClaimComments.aspx', 'USER', '01', '08', 'ABDUL', SYSDATE, '10.6.100.63');</v>
      </c>
      <c r="Y290" s="12" t="str">
        <f t="shared" si="123"/>
        <v>INSERT INTO sy_perm_list (USER_CD, OPT_CD, ACCESS_TYPE, BRANCH_CODE, CLASS_CODE, ENT_BY, ENT_DATE, ENT_BY_IP)</v>
      </c>
      <c r="Z290" s="12" t="str">
        <f t="shared" si="146"/>
        <v>VALUES('08804424','ClaimDocs.aspx', 'USER', '01', '08', 'ABDUL', SYSDATE, '10.6.100.63');</v>
      </c>
      <c r="AA290" s="12" t="str">
        <f t="shared" si="125"/>
        <v>INSERT INTO sy_perm_list (USER_CD, OPT_CD, ACCESS_TYPE, BRANCH_CODE, CLASS_CODE, ENT_BY, ENT_DATE, ENT_BY_IP)</v>
      </c>
      <c r="AB290" s="12" t="str">
        <f t="shared" si="147"/>
        <v>VALUES('08804424','Client.aspx', 'USER', '01', '08', 'ABDUL', SYSDATE, '10.6.100.63');</v>
      </c>
      <c r="AC290" s="12" t="str">
        <f t="shared" si="127"/>
        <v>INSERT INTO sy_perm_list (USER_CD, OPT_CD, ACCESS_TYPE, BRANCH_CODE, CLASS_CODE, ENT_BY, ENT_DATE, ENT_BY_IP)</v>
      </c>
      <c r="AD290" s="12" t="str">
        <f t="shared" si="148"/>
        <v>VALUES('08804424','ClientReports.aspx', 'USER', '01', '08', 'ABDUL', SYSDATE, '10.6.100.63');</v>
      </c>
      <c r="AE290" s="12" t="str">
        <f t="shared" si="129"/>
        <v>INSERT INTO sy_perm_list (USER_CD, OPT_CD, ACCESS_TYPE, BRANCH_CODE, CLASS_CODE, ENT_BY, ENT_DATE, ENT_BY_IP)</v>
      </c>
      <c r="AF290" s="12" t="str">
        <f t="shared" si="149"/>
        <v>VALUES('08804424','ClientRequests.aspx', 'USER', '01', '08', 'ABDUL', SYSDATE, '10.6.100.63');</v>
      </c>
      <c r="AG290" s="12" t="str">
        <f t="shared" si="131"/>
        <v>INSERT INTO sy_perm_list (USER_CD, OPT_CD, ACCESS_TYPE, BRANCH_CODE, CLASS_CODE, ENT_BY, ENT_DATE, ENT_BY_IP)</v>
      </c>
      <c r="AH290" s="12" t="str">
        <f t="shared" si="150"/>
        <v>VALUES('08804424','HealthLife.aspx', 'USER', '01', '08', 'ABDUL', SYSDATE, '10.6.100.63');</v>
      </c>
      <c r="AI290" s="12" t="str">
        <f t="shared" si="133"/>
        <v>INSERT INTO sy_perm_list (USER_CD, OPT_CD, ACCESS_TYPE, BRANCH_CODE, CLASS_CODE, ENT_BY, ENT_DATE, ENT_BY_IP)</v>
      </c>
      <c r="AJ290" s="12" t="str">
        <f t="shared" si="151"/>
        <v>VALUES('08804424','IpdClaim.aspx', 'USER', '01', '08', 'ABDUL', SYSDATE, '10.6.100.63');</v>
      </c>
      <c r="AK290" s="12" t="str">
        <f t="shared" si="135"/>
        <v>INSERT INTO sy_perm_list (USER_CD, OPT_CD, ACCESS_TYPE, BRANCH_CODE, CLASS_CODE, ENT_BY, ENT_DATE, ENT_BY_IP)</v>
      </c>
      <c r="AL290" s="12" t="str">
        <f t="shared" si="152"/>
        <v>VALUES('08804424','OpdClaim.aspx', 'USER', '01', '08', 'ABDUL', SYSDATE, '10.6.100.63');</v>
      </c>
      <c r="AM290" s="12" t="str">
        <f t="shared" si="137"/>
        <v>INSERT INTO sy_perm_list (USER_CD, OPT_CD, ACCESS_TYPE, BRANCH_CODE, CLASS_CODE, ENT_BY, ENT_DATE, ENT_BY_IP)</v>
      </c>
      <c r="AN290" s="12" t="str">
        <f t="shared" si="153"/>
        <v>VALUES('08804424','RequestDetails.aspx', 'USER', '01', '08', 'ABDUL', SYSDATE, '10.6.100.63');</v>
      </c>
      <c r="AO290" s="12" t="str">
        <f t="shared" si="139"/>
        <v>INSERT INTO sy_perm_list (USER_CD, OPT_CD, ACCESS_TYPE, BRANCH_CODE, CLASS_CODE, ENT_BY, ENT_DATE, ENT_BY_IP)</v>
      </c>
      <c r="AP290" s="12" t="str">
        <f t="shared" si="154"/>
        <v>VALUES('08804424','TodaysRequest.aspx', 'USER', '01', '08', 'ABDUL', SYSDATE, '10.6.100.63');</v>
      </c>
    </row>
    <row r="291" spans="1:42" ht="78" thickBot="1" x14ac:dyDescent="0.3">
      <c r="A291" s="37"/>
      <c r="B291" s="37" t="s">
        <v>1357</v>
      </c>
      <c r="C291" s="37"/>
      <c r="D291" s="37"/>
      <c r="E291" s="37"/>
      <c r="F291" s="37"/>
      <c r="G291" s="37"/>
      <c r="H291" s="37"/>
      <c r="I291" s="37"/>
      <c r="J291" s="46" t="s">
        <v>1346</v>
      </c>
      <c r="K291" s="46" t="s">
        <v>1350</v>
      </c>
      <c r="L291" s="36" t="s">
        <v>1352</v>
      </c>
      <c r="M291" s="42" t="s">
        <v>1353</v>
      </c>
      <c r="N291" s="37"/>
      <c r="O291" s="37"/>
      <c r="P291" s="37"/>
      <c r="Q291" s="37"/>
      <c r="R291" s="37"/>
      <c r="S29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1" s="12" t="str">
        <f t="shared" si="143"/>
        <v>VALUES('08804425','Miracle Minerals SMC (Private) Limited','Salaam@123','Y','N',sysdate,'016', 'C', 'Client', 'Syed Misbah Uddin ','01','B', '08', 'ABDUL', sysdate, '10.6.100.63', '08804425');</v>
      </c>
      <c r="U291" s="12" t="str">
        <f t="shared" si="119"/>
        <v>INSERT INTO sy_user_branches (USER_CD, BRANCH_CODE, CLASS_CODE, ENT_BY, ENT_DATE, ENT_BY_IP)</v>
      </c>
      <c r="V291" s="12" t="str">
        <f t="shared" si="144"/>
        <v>values('08804425','01', '08', 'ABDUL', sysdate, '10.6.100.63');</v>
      </c>
      <c r="W291" s="12" t="str">
        <f t="shared" si="121"/>
        <v>INSERT INTO sy_perm_list (USER_CD, OPT_CD, ACCESS_TYPE, BRANCH_CODE, CLASS_CODE, ENT_BY, ENT_DATE, ENT_BY_IP)</v>
      </c>
      <c r="X291" s="12" t="str">
        <f t="shared" si="145"/>
        <v>VALUES('08804425','ClaimComments.aspx', 'USER', '01', '08', 'ABDUL', SYSDATE, '10.6.100.63');</v>
      </c>
      <c r="Y291" s="12" t="str">
        <f t="shared" si="123"/>
        <v>INSERT INTO sy_perm_list (USER_CD, OPT_CD, ACCESS_TYPE, BRANCH_CODE, CLASS_CODE, ENT_BY, ENT_DATE, ENT_BY_IP)</v>
      </c>
      <c r="Z291" s="12" t="str">
        <f t="shared" si="146"/>
        <v>VALUES('08804425','ClaimDocs.aspx', 'USER', '01', '08', 'ABDUL', SYSDATE, '10.6.100.63');</v>
      </c>
      <c r="AA291" s="12" t="str">
        <f t="shared" si="125"/>
        <v>INSERT INTO sy_perm_list (USER_CD, OPT_CD, ACCESS_TYPE, BRANCH_CODE, CLASS_CODE, ENT_BY, ENT_DATE, ENT_BY_IP)</v>
      </c>
      <c r="AB291" s="12" t="str">
        <f t="shared" si="147"/>
        <v>VALUES('08804425','Client.aspx', 'USER', '01', '08', 'ABDUL', SYSDATE, '10.6.100.63');</v>
      </c>
      <c r="AC291" s="12" t="str">
        <f t="shared" si="127"/>
        <v>INSERT INTO sy_perm_list (USER_CD, OPT_CD, ACCESS_TYPE, BRANCH_CODE, CLASS_CODE, ENT_BY, ENT_DATE, ENT_BY_IP)</v>
      </c>
      <c r="AD291" s="12" t="str">
        <f t="shared" si="148"/>
        <v>VALUES('08804425','ClientReports.aspx', 'USER', '01', '08', 'ABDUL', SYSDATE, '10.6.100.63');</v>
      </c>
      <c r="AE291" s="12" t="str">
        <f t="shared" si="129"/>
        <v>INSERT INTO sy_perm_list (USER_CD, OPT_CD, ACCESS_TYPE, BRANCH_CODE, CLASS_CODE, ENT_BY, ENT_DATE, ENT_BY_IP)</v>
      </c>
      <c r="AF291" s="12" t="str">
        <f t="shared" si="149"/>
        <v>VALUES('08804425','ClientRequests.aspx', 'USER', '01', '08', 'ABDUL', SYSDATE, '10.6.100.63');</v>
      </c>
      <c r="AG291" s="12" t="str">
        <f t="shared" si="131"/>
        <v>INSERT INTO sy_perm_list (USER_CD, OPT_CD, ACCESS_TYPE, BRANCH_CODE, CLASS_CODE, ENT_BY, ENT_DATE, ENT_BY_IP)</v>
      </c>
      <c r="AH291" s="12" t="str">
        <f t="shared" si="150"/>
        <v>VALUES('08804425','HealthLife.aspx', 'USER', '01', '08', 'ABDUL', SYSDATE, '10.6.100.63');</v>
      </c>
      <c r="AI291" s="12" t="str">
        <f t="shared" si="133"/>
        <v>INSERT INTO sy_perm_list (USER_CD, OPT_CD, ACCESS_TYPE, BRANCH_CODE, CLASS_CODE, ENT_BY, ENT_DATE, ENT_BY_IP)</v>
      </c>
      <c r="AJ291" s="12" t="str">
        <f t="shared" si="151"/>
        <v>VALUES('08804425','IpdClaim.aspx', 'USER', '01', '08', 'ABDUL', SYSDATE, '10.6.100.63');</v>
      </c>
      <c r="AK291" s="12" t="str">
        <f t="shared" si="135"/>
        <v>INSERT INTO sy_perm_list (USER_CD, OPT_CD, ACCESS_TYPE, BRANCH_CODE, CLASS_CODE, ENT_BY, ENT_DATE, ENT_BY_IP)</v>
      </c>
      <c r="AL291" s="12" t="str">
        <f t="shared" si="152"/>
        <v>VALUES('08804425','OpdClaim.aspx', 'USER', '01', '08', 'ABDUL', SYSDATE, '10.6.100.63');</v>
      </c>
      <c r="AM291" s="12" t="str">
        <f t="shared" si="137"/>
        <v>INSERT INTO sy_perm_list (USER_CD, OPT_CD, ACCESS_TYPE, BRANCH_CODE, CLASS_CODE, ENT_BY, ENT_DATE, ENT_BY_IP)</v>
      </c>
      <c r="AN291" s="12" t="str">
        <f t="shared" si="153"/>
        <v>VALUES('08804425','RequestDetails.aspx', 'USER', '01', '08', 'ABDUL', SYSDATE, '10.6.100.63');</v>
      </c>
      <c r="AO291" s="12" t="str">
        <f t="shared" si="139"/>
        <v>INSERT INTO sy_perm_list (USER_CD, OPT_CD, ACCESS_TYPE, BRANCH_CODE, CLASS_CODE, ENT_BY, ENT_DATE, ENT_BY_IP)</v>
      </c>
      <c r="AP291" s="12" t="str">
        <f t="shared" si="154"/>
        <v>VALUES('08804425','TodaysRequest.aspx', 'USER', '01', '08', 'ABDUL', SYSDATE, '10.6.100.63');</v>
      </c>
    </row>
    <row r="292" spans="1:42" ht="78" thickBot="1" x14ac:dyDescent="0.3">
      <c r="A292" s="37"/>
      <c r="B292" s="37" t="s">
        <v>1358</v>
      </c>
      <c r="C292" s="37"/>
      <c r="D292" s="37"/>
      <c r="E292" s="37"/>
      <c r="F292" s="37"/>
      <c r="G292" s="37"/>
      <c r="H292" s="37"/>
      <c r="I292" s="37"/>
      <c r="J292" s="46" t="s">
        <v>1347</v>
      </c>
      <c r="K292" s="46" t="s">
        <v>1351</v>
      </c>
      <c r="L292" s="36" t="s">
        <v>1359</v>
      </c>
      <c r="M292" s="42" t="s">
        <v>1354</v>
      </c>
      <c r="N292" s="37"/>
      <c r="O292" s="37"/>
      <c r="P292" s="37"/>
      <c r="Q292" s="37"/>
      <c r="R292" s="37"/>
      <c r="S29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2" s="12" t="str">
        <f t="shared" si="143"/>
        <v>VALUES('08804673','Hashmove Pakistan (Private) Limited','Salaam@123','Y','N',sysdate,'016', 'C', 'Client', 'Haseeb Ahmed','01','B', '08', 'ABDUL', sysdate, '10.6.100.63', '08804673');</v>
      </c>
      <c r="U292" s="12" t="str">
        <f t="shared" si="119"/>
        <v>INSERT INTO sy_user_branches (USER_CD, BRANCH_CODE, CLASS_CODE, ENT_BY, ENT_DATE, ENT_BY_IP)</v>
      </c>
      <c r="V292" s="12" t="str">
        <f t="shared" si="144"/>
        <v>values('08804673','01', '08', 'ABDUL', sysdate, '10.6.100.63');</v>
      </c>
      <c r="W292" s="12" t="str">
        <f t="shared" si="121"/>
        <v>INSERT INTO sy_perm_list (USER_CD, OPT_CD, ACCESS_TYPE, BRANCH_CODE, CLASS_CODE, ENT_BY, ENT_DATE, ENT_BY_IP)</v>
      </c>
      <c r="X292" s="12" t="str">
        <f t="shared" si="145"/>
        <v>VALUES('08804673','ClaimComments.aspx', 'USER', '01', '08', 'ABDUL', SYSDATE, '10.6.100.63');</v>
      </c>
      <c r="Y292" s="12" t="str">
        <f t="shared" si="123"/>
        <v>INSERT INTO sy_perm_list (USER_CD, OPT_CD, ACCESS_TYPE, BRANCH_CODE, CLASS_CODE, ENT_BY, ENT_DATE, ENT_BY_IP)</v>
      </c>
      <c r="Z292" s="12" t="str">
        <f t="shared" si="146"/>
        <v>VALUES('08804673','ClaimDocs.aspx', 'USER', '01', '08', 'ABDUL', SYSDATE, '10.6.100.63');</v>
      </c>
      <c r="AA292" s="12" t="str">
        <f t="shared" si="125"/>
        <v>INSERT INTO sy_perm_list (USER_CD, OPT_CD, ACCESS_TYPE, BRANCH_CODE, CLASS_CODE, ENT_BY, ENT_DATE, ENT_BY_IP)</v>
      </c>
      <c r="AB292" s="12" t="str">
        <f t="shared" si="147"/>
        <v>VALUES('08804673','Client.aspx', 'USER', '01', '08', 'ABDUL', SYSDATE, '10.6.100.63');</v>
      </c>
      <c r="AC292" s="12" t="str">
        <f t="shared" si="127"/>
        <v>INSERT INTO sy_perm_list (USER_CD, OPT_CD, ACCESS_TYPE, BRANCH_CODE, CLASS_CODE, ENT_BY, ENT_DATE, ENT_BY_IP)</v>
      </c>
      <c r="AD292" s="12" t="str">
        <f t="shared" si="148"/>
        <v>VALUES('08804673','ClientReports.aspx', 'USER', '01', '08', 'ABDUL', SYSDATE, '10.6.100.63');</v>
      </c>
      <c r="AE292" s="12" t="str">
        <f t="shared" si="129"/>
        <v>INSERT INTO sy_perm_list (USER_CD, OPT_CD, ACCESS_TYPE, BRANCH_CODE, CLASS_CODE, ENT_BY, ENT_DATE, ENT_BY_IP)</v>
      </c>
      <c r="AF292" s="12" t="str">
        <f t="shared" si="149"/>
        <v>VALUES('08804673','ClientRequests.aspx', 'USER', '01', '08', 'ABDUL', SYSDATE, '10.6.100.63');</v>
      </c>
      <c r="AG292" s="12" t="str">
        <f t="shared" si="131"/>
        <v>INSERT INTO sy_perm_list (USER_CD, OPT_CD, ACCESS_TYPE, BRANCH_CODE, CLASS_CODE, ENT_BY, ENT_DATE, ENT_BY_IP)</v>
      </c>
      <c r="AH292" s="12" t="str">
        <f t="shared" si="150"/>
        <v>VALUES('08804673','HealthLife.aspx', 'USER', '01', '08', 'ABDUL', SYSDATE, '10.6.100.63');</v>
      </c>
      <c r="AI292" s="12" t="str">
        <f t="shared" si="133"/>
        <v>INSERT INTO sy_perm_list (USER_CD, OPT_CD, ACCESS_TYPE, BRANCH_CODE, CLASS_CODE, ENT_BY, ENT_DATE, ENT_BY_IP)</v>
      </c>
      <c r="AJ292" s="12" t="str">
        <f t="shared" si="151"/>
        <v>VALUES('08804673','IpdClaim.aspx', 'USER', '01', '08', 'ABDUL', SYSDATE, '10.6.100.63');</v>
      </c>
      <c r="AK292" s="12" t="str">
        <f t="shared" si="135"/>
        <v>INSERT INTO sy_perm_list (USER_CD, OPT_CD, ACCESS_TYPE, BRANCH_CODE, CLASS_CODE, ENT_BY, ENT_DATE, ENT_BY_IP)</v>
      </c>
      <c r="AL292" s="12" t="str">
        <f t="shared" si="152"/>
        <v>VALUES('08804673','OpdClaim.aspx', 'USER', '01', '08', 'ABDUL', SYSDATE, '10.6.100.63');</v>
      </c>
      <c r="AM292" s="12" t="str">
        <f t="shared" si="137"/>
        <v>INSERT INTO sy_perm_list (USER_CD, OPT_CD, ACCESS_TYPE, BRANCH_CODE, CLASS_CODE, ENT_BY, ENT_DATE, ENT_BY_IP)</v>
      </c>
      <c r="AN292" s="12" t="str">
        <f t="shared" si="153"/>
        <v>VALUES('08804673','RequestDetails.aspx', 'USER', '01', '08', 'ABDUL', SYSDATE, '10.6.100.63');</v>
      </c>
      <c r="AO292" s="12" t="str">
        <f t="shared" si="139"/>
        <v>INSERT INTO sy_perm_list (USER_CD, OPT_CD, ACCESS_TYPE, BRANCH_CODE, CLASS_CODE, ENT_BY, ENT_DATE, ENT_BY_IP)</v>
      </c>
      <c r="AP292" s="12" t="str">
        <f t="shared" si="154"/>
        <v>VALUES('08804673','TodaysRequest.aspx', 'USER', '01', '08', 'ABDUL', SYSDATE, '10.6.100.63');</v>
      </c>
    </row>
    <row r="293" spans="1:42" ht="78" thickBot="1" x14ac:dyDescent="0.3">
      <c r="A293" s="37"/>
      <c r="B293" s="37" t="s">
        <v>1361</v>
      </c>
      <c r="C293" s="37"/>
      <c r="D293" s="37"/>
      <c r="E293" s="37"/>
      <c r="F293" s="37"/>
      <c r="G293" s="37"/>
      <c r="H293" s="37"/>
      <c r="I293" s="37"/>
      <c r="J293" s="54" t="s">
        <v>1362</v>
      </c>
      <c r="K293" s="54" t="s">
        <v>1363</v>
      </c>
      <c r="L293" s="54" t="s">
        <v>1364</v>
      </c>
      <c r="M293" s="55" t="s">
        <v>1365</v>
      </c>
      <c r="N293" s="37"/>
      <c r="O293" s="37"/>
      <c r="P293" s="37"/>
      <c r="Q293" s="37"/>
      <c r="R293" s="37"/>
      <c r="S29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3" s="12" t="str">
        <f t="shared" si="143"/>
        <v>VALUES('08804696','Tabros Pharma (Pvt) Limited','Salaam@123','Y','N',sysdate,'016', 'C', 'Client', 'Ahmed Hassan ','01','B', '08', 'ABDUL', sysdate, '10.6.100.63', '08804696');</v>
      </c>
      <c r="U293" s="12" t="str">
        <f t="shared" si="119"/>
        <v>INSERT INTO sy_user_branches (USER_CD, BRANCH_CODE, CLASS_CODE, ENT_BY, ENT_DATE, ENT_BY_IP)</v>
      </c>
      <c r="V293" s="12" t="str">
        <f t="shared" si="144"/>
        <v>values('08804696','01', '08', 'ABDUL', sysdate, '10.6.100.63');</v>
      </c>
      <c r="W293" s="12" t="str">
        <f t="shared" si="121"/>
        <v>INSERT INTO sy_perm_list (USER_CD, OPT_CD, ACCESS_TYPE, BRANCH_CODE, CLASS_CODE, ENT_BY, ENT_DATE, ENT_BY_IP)</v>
      </c>
      <c r="X293" s="12" t="str">
        <f t="shared" si="145"/>
        <v>VALUES('08804696','ClaimComments.aspx', 'USER', '01', '08', 'ABDUL', SYSDATE, '10.6.100.63');</v>
      </c>
      <c r="Y293" s="12" t="str">
        <f t="shared" si="123"/>
        <v>INSERT INTO sy_perm_list (USER_CD, OPT_CD, ACCESS_TYPE, BRANCH_CODE, CLASS_CODE, ENT_BY, ENT_DATE, ENT_BY_IP)</v>
      </c>
      <c r="Z293" s="12" t="str">
        <f t="shared" si="146"/>
        <v>VALUES('08804696','ClaimDocs.aspx', 'USER', '01', '08', 'ABDUL', SYSDATE, '10.6.100.63');</v>
      </c>
      <c r="AA293" s="12" t="str">
        <f t="shared" si="125"/>
        <v>INSERT INTO sy_perm_list (USER_CD, OPT_CD, ACCESS_TYPE, BRANCH_CODE, CLASS_CODE, ENT_BY, ENT_DATE, ENT_BY_IP)</v>
      </c>
      <c r="AB293" s="12" t="str">
        <f t="shared" si="147"/>
        <v>VALUES('08804696','Client.aspx', 'USER', '01', '08', 'ABDUL', SYSDATE, '10.6.100.63');</v>
      </c>
      <c r="AC293" s="12" t="str">
        <f t="shared" si="127"/>
        <v>INSERT INTO sy_perm_list (USER_CD, OPT_CD, ACCESS_TYPE, BRANCH_CODE, CLASS_CODE, ENT_BY, ENT_DATE, ENT_BY_IP)</v>
      </c>
      <c r="AD293" s="12" t="str">
        <f t="shared" si="148"/>
        <v>VALUES('08804696','ClientReports.aspx', 'USER', '01', '08', 'ABDUL', SYSDATE, '10.6.100.63');</v>
      </c>
      <c r="AE293" s="12" t="str">
        <f t="shared" si="129"/>
        <v>INSERT INTO sy_perm_list (USER_CD, OPT_CD, ACCESS_TYPE, BRANCH_CODE, CLASS_CODE, ENT_BY, ENT_DATE, ENT_BY_IP)</v>
      </c>
      <c r="AF293" s="12" t="str">
        <f t="shared" si="149"/>
        <v>VALUES('08804696','ClientRequests.aspx', 'USER', '01', '08', 'ABDUL', SYSDATE, '10.6.100.63');</v>
      </c>
      <c r="AG293" s="12" t="str">
        <f t="shared" si="131"/>
        <v>INSERT INTO sy_perm_list (USER_CD, OPT_CD, ACCESS_TYPE, BRANCH_CODE, CLASS_CODE, ENT_BY, ENT_DATE, ENT_BY_IP)</v>
      </c>
      <c r="AH293" s="12" t="str">
        <f t="shared" si="150"/>
        <v>VALUES('08804696','HealthLife.aspx', 'USER', '01', '08', 'ABDUL', SYSDATE, '10.6.100.63');</v>
      </c>
      <c r="AI293" s="12" t="str">
        <f t="shared" si="133"/>
        <v>INSERT INTO sy_perm_list (USER_CD, OPT_CD, ACCESS_TYPE, BRANCH_CODE, CLASS_CODE, ENT_BY, ENT_DATE, ENT_BY_IP)</v>
      </c>
      <c r="AJ293" s="12" t="str">
        <f t="shared" si="151"/>
        <v>VALUES('08804696','IpdClaim.aspx', 'USER', '01', '08', 'ABDUL', SYSDATE, '10.6.100.63');</v>
      </c>
      <c r="AK293" s="12" t="str">
        <f t="shared" si="135"/>
        <v>INSERT INTO sy_perm_list (USER_CD, OPT_CD, ACCESS_TYPE, BRANCH_CODE, CLASS_CODE, ENT_BY, ENT_DATE, ENT_BY_IP)</v>
      </c>
      <c r="AL293" s="12" t="str">
        <f t="shared" si="152"/>
        <v>VALUES('08804696','OpdClaim.aspx', 'USER', '01', '08', 'ABDUL', SYSDATE, '10.6.100.63');</v>
      </c>
      <c r="AM293" s="12" t="str">
        <f t="shared" si="137"/>
        <v>INSERT INTO sy_perm_list (USER_CD, OPT_CD, ACCESS_TYPE, BRANCH_CODE, CLASS_CODE, ENT_BY, ENT_DATE, ENT_BY_IP)</v>
      </c>
      <c r="AN293" s="12" t="str">
        <f t="shared" si="153"/>
        <v>VALUES('08804696','RequestDetails.aspx', 'USER', '01', '08', 'ABDUL', SYSDATE, '10.6.100.63');</v>
      </c>
      <c r="AO293" s="12" t="str">
        <f t="shared" si="139"/>
        <v>INSERT INTO sy_perm_list (USER_CD, OPT_CD, ACCESS_TYPE, BRANCH_CODE, CLASS_CODE, ENT_BY, ENT_DATE, ENT_BY_IP)</v>
      </c>
      <c r="AP293" s="12" t="str">
        <f t="shared" si="154"/>
        <v>VALUES('08804696','TodaysRequest.aspx', 'USER', '01', '08', 'ABDUL', SYSDATE, '10.6.100.63');</v>
      </c>
    </row>
    <row r="294" spans="1:42" ht="78" thickBot="1" x14ac:dyDescent="0.3">
      <c r="A294" s="37"/>
      <c r="B294" s="37" t="s">
        <v>1366</v>
      </c>
      <c r="C294" s="37"/>
      <c r="D294" s="37"/>
      <c r="E294" s="37"/>
      <c r="F294" s="37"/>
      <c r="G294" s="37"/>
      <c r="H294" s="37"/>
      <c r="I294" s="37"/>
      <c r="J294" s="46" t="s">
        <v>1367</v>
      </c>
      <c r="K294" s="46" t="s">
        <v>1368</v>
      </c>
      <c r="L294" s="10" t="s">
        <v>1370</v>
      </c>
      <c r="M294" s="11" t="s">
        <v>1369</v>
      </c>
      <c r="N294" s="37"/>
      <c r="O294" s="37"/>
      <c r="P294" s="37"/>
      <c r="Q294" s="37"/>
      <c r="R294" s="37"/>
      <c r="S29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4" s="12" t="str">
        <f t="shared" ref="T294:T303" si="155">"VALUES('"&amp;B294&amp;"','"&amp;K294&amp;"','Salaam@123','Y','N',sysdate,'016', 'C', 'Client', '"&amp;L294&amp;"','01','B', '08', 'ABDUL', sysdate, '10.6.100.63', '"&amp;B294&amp;"');"</f>
        <v>VALUES('08803735','Woodward Herbal Laboratories Private Limited','Salaam@123','Y','N',sysdate,'016', 'C', 'Client', 'Mr. Arif Abdul Khalique','01','B', '08', 'ABDUL', sysdate, '10.6.100.63', '08803735');</v>
      </c>
      <c r="U294" s="12" t="str">
        <f t="shared" si="119"/>
        <v>INSERT INTO sy_user_branches (USER_CD, BRANCH_CODE, CLASS_CODE, ENT_BY, ENT_DATE, ENT_BY_IP)</v>
      </c>
      <c r="V294" s="12" t="str">
        <f t="shared" ref="V294:V303" si="156">"values('"&amp;B294&amp;"','01', '08', 'ABDUL', sysdate, '10.6.100.63');"</f>
        <v>values('08803735','01', '08', 'ABDUL', sysdate, '10.6.100.63');</v>
      </c>
      <c r="W294" s="12" t="str">
        <f t="shared" si="121"/>
        <v>INSERT INTO sy_perm_list (USER_CD, OPT_CD, ACCESS_TYPE, BRANCH_CODE, CLASS_CODE, ENT_BY, ENT_DATE, ENT_BY_IP)</v>
      </c>
      <c r="X294" s="12" t="str">
        <f t="shared" ref="X294:X303" si="157">"VALUES('"&amp;B294&amp;"','ClaimComments.aspx', 'USER', '01', '08', 'ABDUL', SYSDATE, '10.6.100.63');"</f>
        <v>VALUES('08803735','ClaimComments.aspx', 'USER', '01', '08', 'ABDUL', SYSDATE, '10.6.100.63');</v>
      </c>
      <c r="Y294" s="12" t="str">
        <f t="shared" si="123"/>
        <v>INSERT INTO sy_perm_list (USER_CD, OPT_CD, ACCESS_TYPE, BRANCH_CODE, CLASS_CODE, ENT_BY, ENT_DATE, ENT_BY_IP)</v>
      </c>
      <c r="Z294" s="12" t="str">
        <f t="shared" ref="Z294:Z303" si="158">"VALUES('"&amp;B294&amp;"','ClaimDocs.aspx', 'USER', '01', '08', 'ABDUL', SYSDATE, '10.6.100.63');"</f>
        <v>VALUES('08803735','ClaimDocs.aspx', 'USER', '01', '08', 'ABDUL', SYSDATE, '10.6.100.63');</v>
      </c>
      <c r="AA294" s="12" t="str">
        <f t="shared" si="125"/>
        <v>INSERT INTO sy_perm_list (USER_CD, OPT_CD, ACCESS_TYPE, BRANCH_CODE, CLASS_CODE, ENT_BY, ENT_DATE, ENT_BY_IP)</v>
      </c>
      <c r="AB294" s="12" t="str">
        <f t="shared" ref="AB294:AB303" si="159">"VALUES('"&amp;B294&amp;"','Client.aspx', 'USER', '01', '08', 'ABDUL', SYSDATE, '10.6.100.63');"</f>
        <v>VALUES('08803735','Client.aspx', 'USER', '01', '08', 'ABDUL', SYSDATE, '10.6.100.63');</v>
      </c>
      <c r="AC294" s="12" t="str">
        <f t="shared" si="127"/>
        <v>INSERT INTO sy_perm_list (USER_CD, OPT_CD, ACCESS_TYPE, BRANCH_CODE, CLASS_CODE, ENT_BY, ENT_DATE, ENT_BY_IP)</v>
      </c>
      <c r="AD294" s="12" t="str">
        <f t="shared" ref="AD294:AD303" si="160">"VALUES('"&amp;B294&amp;"','ClientReports.aspx', 'USER', '01', '08', 'ABDUL', SYSDATE, '10.6.100.63');"</f>
        <v>VALUES('08803735','ClientReports.aspx', 'USER', '01', '08', 'ABDUL', SYSDATE, '10.6.100.63');</v>
      </c>
      <c r="AE294" s="12" t="str">
        <f t="shared" si="129"/>
        <v>INSERT INTO sy_perm_list (USER_CD, OPT_CD, ACCESS_TYPE, BRANCH_CODE, CLASS_CODE, ENT_BY, ENT_DATE, ENT_BY_IP)</v>
      </c>
      <c r="AF294" s="12" t="str">
        <f t="shared" ref="AF294:AF303" si="161">"VALUES('"&amp;B294&amp;"','ClientRequests.aspx', 'USER', '01', '08', 'ABDUL', SYSDATE, '10.6.100.63');"</f>
        <v>VALUES('08803735','ClientRequests.aspx', 'USER', '01', '08', 'ABDUL', SYSDATE, '10.6.100.63');</v>
      </c>
      <c r="AG294" s="12" t="str">
        <f t="shared" si="131"/>
        <v>INSERT INTO sy_perm_list (USER_CD, OPT_CD, ACCESS_TYPE, BRANCH_CODE, CLASS_CODE, ENT_BY, ENT_DATE, ENT_BY_IP)</v>
      </c>
      <c r="AH294" s="12" t="str">
        <f t="shared" ref="AH294:AH303" si="162">"VALUES('"&amp;B294&amp;"','HealthLife.aspx', 'USER', '01', '08', 'ABDUL', SYSDATE, '10.6.100.63');"</f>
        <v>VALUES('08803735','HealthLife.aspx', 'USER', '01', '08', 'ABDUL', SYSDATE, '10.6.100.63');</v>
      </c>
      <c r="AI294" s="12" t="str">
        <f t="shared" si="133"/>
        <v>INSERT INTO sy_perm_list (USER_CD, OPT_CD, ACCESS_TYPE, BRANCH_CODE, CLASS_CODE, ENT_BY, ENT_DATE, ENT_BY_IP)</v>
      </c>
      <c r="AJ294" s="12" t="str">
        <f t="shared" ref="AJ294:AJ303" si="163">"VALUES('"&amp;B294&amp;"','IpdClaim.aspx', 'USER', '01', '08', 'ABDUL', SYSDATE, '10.6.100.63');"</f>
        <v>VALUES('08803735','IpdClaim.aspx', 'USER', '01', '08', 'ABDUL', SYSDATE, '10.6.100.63');</v>
      </c>
      <c r="AK294" s="12" t="str">
        <f t="shared" si="135"/>
        <v>INSERT INTO sy_perm_list (USER_CD, OPT_CD, ACCESS_TYPE, BRANCH_CODE, CLASS_CODE, ENT_BY, ENT_DATE, ENT_BY_IP)</v>
      </c>
      <c r="AL294" s="12" t="str">
        <f t="shared" ref="AL294:AL303" si="164">"VALUES('"&amp;B294&amp;"','OpdClaim.aspx', 'USER', '01', '08', 'ABDUL', SYSDATE, '10.6.100.63');"</f>
        <v>VALUES('08803735','OpdClaim.aspx', 'USER', '01', '08', 'ABDUL', SYSDATE, '10.6.100.63');</v>
      </c>
      <c r="AM294" s="12" t="str">
        <f t="shared" si="137"/>
        <v>INSERT INTO sy_perm_list (USER_CD, OPT_CD, ACCESS_TYPE, BRANCH_CODE, CLASS_CODE, ENT_BY, ENT_DATE, ENT_BY_IP)</v>
      </c>
      <c r="AN294" s="12" t="str">
        <f t="shared" ref="AN294:AN303" si="165">"VALUES('"&amp;B294&amp;"','RequestDetails.aspx', 'USER', '01', '08', 'ABDUL', SYSDATE, '10.6.100.63');"</f>
        <v>VALUES('08803735','RequestDetails.aspx', 'USER', '01', '08', 'ABDUL', SYSDATE, '10.6.100.63');</v>
      </c>
      <c r="AO294" s="12" t="str">
        <f t="shared" si="139"/>
        <v>INSERT INTO sy_perm_list (USER_CD, OPT_CD, ACCESS_TYPE, BRANCH_CODE, CLASS_CODE, ENT_BY, ENT_DATE, ENT_BY_IP)</v>
      </c>
      <c r="AP294" s="12" t="str">
        <f t="shared" ref="AP294:AP303" si="166">"VALUES('"&amp;B294&amp;"','TodaysRequest.aspx', 'USER', '01', '08', 'ABDUL', SYSDATE, '10.6.100.63');"</f>
        <v>VALUES('08803735','TodaysRequest.aspx', 'USER', '01', '08', 'ABDUL', SYSDATE, '10.6.100.63');</v>
      </c>
    </row>
    <row r="295" spans="1:42" ht="78" thickBot="1" x14ac:dyDescent="0.3">
      <c r="A295" s="37"/>
      <c r="B295" s="37" t="s">
        <v>1371</v>
      </c>
      <c r="C295" s="37"/>
      <c r="D295" s="37"/>
      <c r="E295" s="37"/>
      <c r="F295" s="37"/>
      <c r="G295" s="37"/>
      <c r="H295" s="37"/>
      <c r="I295" s="37"/>
      <c r="J295" s="54" t="s">
        <v>1372</v>
      </c>
      <c r="K295" s="54" t="s">
        <v>1373</v>
      </c>
      <c r="L295" s="54" t="s">
        <v>1374</v>
      </c>
      <c r="M295" s="55" t="s">
        <v>1375</v>
      </c>
      <c r="N295" s="37"/>
      <c r="O295" s="37"/>
      <c r="P295" s="37"/>
      <c r="Q295" s="37"/>
      <c r="R295" s="37"/>
      <c r="S29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5" s="12" t="str">
        <f t="shared" si="155"/>
        <v>VALUES('08804739','ForeePay (Private) Limited','Salaam@123','Y','N',sysdate,'016', 'C', 'Client', 'Fatima Shuhab','01','B', '08', 'ABDUL', sysdate, '10.6.100.63', '08804739');</v>
      </c>
      <c r="U295" s="12" t="str">
        <f t="shared" si="119"/>
        <v>INSERT INTO sy_user_branches (USER_CD, BRANCH_CODE, CLASS_CODE, ENT_BY, ENT_DATE, ENT_BY_IP)</v>
      </c>
      <c r="V295" s="12" t="str">
        <f t="shared" si="156"/>
        <v>values('08804739','01', '08', 'ABDUL', sysdate, '10.6.100.63');</v>
      </c>
      <c r="W295" s="12" t="str">
        <f t="shared" si="121"/>
        <v>INSERT INTO sy_perm_list (USER_CD, OPT_CD, ACCESS_TYPE, BRANCH_CODE, CLASS_CODE, ENT_BY, ENT_DATE, ENT_BY_IP)</v>
      </c>
      <c r="X295" s="12" t="str">
        <f t="shared" si="157"/>
        <v>VALUES('08804739','ClaimComments.aspx', 'USER', '01', '08', 'ABDUL', SYSDATE, '10.6.100.63');</v>
      </c>
      <c r="Y295" s="12" t="str">
        <f t="shared" si="123"/>
        <v>INSERT INTO sy_perm_list (USER_CD, OPT_CD, ACCESS_TYPE, BRANCH_CODE, CLASS_CODE, ENT_BY, ENT_DATE, ENT_BY_IP)</v>
      </c>
      <c r="Z295" s="12" t="str">
        <f t="shared" si="158"/>
        <v>VALUES('08804739','ClaimDocs.aspx', 'USER', '01', '08', 'ABDUL', SYSDATE, '10.6.100.63');</v>
      </c>
      <c r="AA295" s="12" t="str">
        <f t="shared" si="125"/>
        <v>INSERT INTO sy_perm_list (USER_CD, OPT_CD, ACCESS_TYPE, BRANCH_CODE, CLASS_CODE, ENT_BY, ENT_DATE, ENT_BY_IP)</v>
      </c>
      <c r="AB295" s="12" t="str">
        <f t="shared" si="159"/>
        <v>VALUES('08804739','Client.aspx', 'USER', '01', '08', 'ABDUL', SYSDATE, '10.6.100.63');</v>
      </c>
      <c r="AC295" s="12" t="str">
        <f t="shared" si="127"/>
        <v>INSERT INTO sy_perm_list (USER_CD, OPT_CD, ACCESS_TYPE, BRANCH_CODE, CLASS_CODE, ENT_BY, ENT_DATE, ENT_BY_IP)</v>
      </c>
      <c r="AD295" s="12" t="str">
        <f t="shared" si="160"/>
        <v>VALUES('08804739','ClientReports.aspx', 'USER', '01', '08', 'ABDUL', SYSDATE, '10.6.100.63');</v>
      </c>
      <c r="AE295" s="12" t="str">
        <f t="shared" si="129"/>
        <v>INSERT INTO sy_perm_list (USER_CD, OPT_CD, ACCESS_TYPE, BRANCH_CODE, CLASS_CODE, ENT_BY, ENT_DATE, ENT_BY_IP)</v>
      </c>
      <c r="AF295" s="12" t="str">
        <f t="shared" si="161"/>
        <v>VALUES('08804739','ClientRequests.aspx', 'USER', '01', '08', 'ABDUL', SYSDATE, '10.6.100.63');</v>
      </c>
      <c r="AG295" s="12" t="str">
        <f t="shared" si="131"/>
        <v>INSERT INTO sy_perm_list (USER_CD, OPT_CD, ACCESS_TYPE, BRANCH_CODE, CLASS_CODE, ENT_BY, ENT_DATE, ENT_BY_IP)</v>
      </c>
      <c r="AH295" s="12" t="str">
        <f t="shared" si="162"/>
        <v>VALUES('08804739','HealthLife.aspx', 'USER', '01', '08', 'ABDUL', SYSDATE, '10.6.100.63');</v>
      </c>
      <c r="AI295" s="12" t="str">
        <f t="shared" si="133"/>
        <v>INSERT INTO sy_perm_list (USER_CD, OPT_CD, ACCESS_TYPE, BRANCH_CODE, CLASS_CODE, ENT_BY, ENT_DATE, ENT_BY_IP)</v>
      </c>
      <c r="AJ295" s="12" t="str">
        <f t="shared" si="163"/>
        <v>VALUES('08804739','IpdClaim.aspx', 'USER', '01', '08', 'ABDUL', SYSDATE, '10.6.100.63');</v>
      </c>
      <c r="AK295" s="12" t="str">
        <f t="shared" si="135"/>
        <v>INSERT INTO sy_perm_list (USER_CD, OPT_CD, ACCESS_TYPE, BRANCH_CODE, CLASS_CODE, ENT_BY, ENT_DATE, ENT_BY_IP)</v>
      </c>
      <c r="AL295" s="12" t="str">
        <f t="shared" si="164"/>
        <v>VALUES('08804739','OpdClaim.aspx', 'USER', '01', '08', 'ABDUL', SYSDATE, '10.6.100.63');</v>
      </c>
      <c r="AM295" s="12" t="str">
        <f t="shared" si="137"/>
        <v>INSERT INTO sy_perm_list (USER_CD, OPT_CD, ACCESS_TYPE, BRANCH_CODE, CLASS_CODE, ENT_BY, ENT_DATE, ENT_BY_IP)</v>
      </c>
      <c r="AN295" s="12" t="str">
        <f t="shared" si="165"/>
        <v>VALUES('08804739','RequestDetails.aspx', 'USER', '01', '08', 'ABDUL', SYSDATE, '10.6.100.63');</v>
      </c>
      <c r="AO295" s="12" t="str">
        <f t="shared" si="139"/>
        <v>INSERT INTO sy_perm_list (USER_CD, OPT_CD, ACCESS_TYPE, BRANCH_CODE, CLASS_CODE, ENT_BY, ENT_DATE, ENT_BY_IP)</v>
      </c>
      <c r="AP295" s="12" t="str">
        <f t="shared" si="166"/>
        <v>VALUES('08804739','TodaysRequest.aspx', 'USER', '01', '08', 'ABDUL', SYSDATE, '10.6.100.63');</v>
      </c>
    </row>
    <row r="296" spans="1:42" ht="78" thickBot="1" x14ac:dyDescent="0.3">
      <c r="A296" s="37"/>
      <c r="B296" s="37" t="s">
        <v>1376</v>
      </c>
      <c r="C296" s="37"/>
      <c r="D296" s="37"/>
      <c r="E296" s="37"/>
      <c r="F296" s="37"/>
      <c r="G296" s="37"/>
      <c r="H296" s="37"/>
      <c r="I296" s="37"/>
      <c r="J296" s="54" t="s">
        <v>1377</v>
      </c>
      <c r="K296" s="54" t="s">
        <v>1378</v>
      </c>
      <c r="L296" s="54" t="s">
        <v>1379</v>
      </c>
      <c r="M296" s="55" t="s">
        <v>1380</v>
      </c>
      <c r="N296" s="37"/>
      <c r="O296" s="37"/>
      <c r="P296" s="37"/>
      <c r="Q296" s="37"/>
      <c r="R296" s="37"/>
      <c r="S29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6" s="12" t="str">
        <f t="shared" si="155"/>
        <v>VALUES('08804337','THE D HAMIDI PARTNERSHIP (PVT.) LTD','Salaam@123','Y','N',sysdate,'016', 'C', 'Client', 'Faisal Razzaq','01','B', '08', 'ABDUL', sysdate, '10.6.100.63', '08804337');</v>
      </c>
      <c r="U296" s="12" t="str">
        <f t="shared" si="119"/>
        <v>INSERT INTO sy_user_branches (USER_CD, BRANCH_CODE, CLASS_CODE, ENT_BY, ENT_DATE, ENT_BY_IP)</v>
      </c>
      <c r="V296" s="12" t="str">
        <f t="shared" si="156"/>
        <v>values('08804337','01', '08', 'ABDUL', sysdate, '10.6.100.63');</v>
      </c>
      <c r="W296" s="12" t="str">
        <f t="shared" si="121"/>
        <v>INSERT INTO sy_perm_list (USER_CD, OPT_CD, ACCESS_TYPE, BRANCH_CODE, CLASS_CODE, ENT_BY, ENT_DATE, ENT_BY_IP)</v>
      </c>
      <c r="X296" s="12" t="str">
        <f t="shared" si="157"/>
        <v>VALUES('08804337','ClaimComments.aspx', 'USER', '01', '08', 'ABDUL', SYSDATE, '10.6.100.63');</v>
      </c>
      <c r="Y296" s="12" t="str">
        <f t="shared" si="123"/>
        <v>INSERT INTO sy_perm_list (USER_CD, OPT_CD, ACCESS_TYPE, BRANCH_CODE, CLASS_CODE, ENT_BY, ENT_DATE, ENT_BY_IP)</v>
      </c>
      <c r="Z296" s="12" t="str">
        <f t="shared" si="158"/>
        <v>VALUES('08804337','ClaimDocs.aspx', 'USER', '01', '08', 'ABDUL', SYSDATE, '10.6.100.63');</v>
      </c>
      <c r="AA296" s="12" t="str">
        <f t="shared" si="125"/>
        <v>INSERT INTO sy_perm_list (USER_CD, OPT_CD, ACCESS_TYPE, BRANCH_CODE, CLASS_CODE, ENT_BY, ENT_DATE, ENT_BY_IP)</v>
      </c>
      <c r="AB296" s="12" t="str">
        <f t="shared" si="159"/>
        <v>VALUES('08804337','Client.aspx', 'USER', '01', '08', 'ABDUL', SYSDATE, '10.6.100.63');</v>
      </c>
      <c r="AC296" s="12" t="str">
        <f t="shared" si="127"/>
        <v>INSERT INTO sy_perm_list (USER_CD, OPT_CD, ACCESS_TYPE, BRANCH_CODE, CLASS_CODE, ENT_BY, ENT_DATE, ENT_BY_IP)</v>
      </c>
      <c r="AD296" s="12" t="str">
        <f t="shared" si="160"/>
        <v>VALUES('08804337','ClientReports.aspx', 'USER', '01', '08', 'ABDUL', SYSDATE, '10.6.100.63');</v>
      </c>
      <c r="AE296" s="12" t="str">
        <f t="shared" si="129"/>
        <v>INSERT INTO sy_perm_list (USER_CD, OPT_CD, ACCESS_TYPE, BRANCH_CODE, CLASS_CODE, ENT_BY, ENT_DATE, ENT_BY_IP)</v>
      </c>
      <c r="AF296" s="12" t="str">
        <f t="shared" si="161"/>
        <v>VALUES('08804337','ClientRequests.aspx', 'USER', '01', '08', 'ABDUL', SYSDATE, '10.6.100.63');</v>
      </c>
      <c r="AG296" s="12" t="str">
        <f t="shared" si="131"/>
        <v>INSERT INTO sy_perm_list (USER_CD, OPT_CD, ACCESS_TYPE, BRANCH_CODE, CLASS_CODE, ENT_BY, ENT_DATE, ENT_BY_IP)</v>
      </c>
      <c r="AH296" s="12" t="str">
        <f t="shared" si="162"/>
        <v>VALUES('08804337','HealthLife.aspx', 'USER', '01', '08', 'ABDUL', SYSDATE, '10.6.100.63');</v>
      </c>
      <c r="AI296" s="12" t="str">
        <f t="shared" si="133"/>
        <v>INSERT INTO sy_perm_list (USER_CD, OPT_CD, ACCESS_TYPE, BRANCH_CODE, CLASS_CODE, ENT_BY, ENT_DATE, ENT_BY_IP)</v>
      </c>
      <c r="AJ296" s="12" t="str">
        <f t="shared" si="163"/>
        <v>VALUES('08804337','IpdClaim.aspx', 'USER', '01', '08', 'ABDUL', SYSDATE, '10.6.100.63');</v>
      </c>
      <c r="AK296" s="12" t="str">
        <f t="shared" si="135"/>
        <v>INSERT INTO sy_perm_list (USER_CD, OPT_CD, ACCESS_TYPE, BRANCH_CODE, CLASS_CODE, ENT_BY, ENT_DATE, ENT_BY_IP)</v>
      </c>
      <c r="AL296" s="12" t="str">
        <f t="shared" si="164"/>
        <v>VALUES('08804337','OpdClaim.aspx', 'USER', '01', '08', 'ABDUL', SYSDATE, '10.6.100.63');</v>
      </c>
      <c r="AM296" s="12" t="str">
        <f t="shared" si="137"/>
        <v>INSERT INTO sy_perm_list (USER_CD, OPT_CD, ACCESS_TYPE, BRANCH_CODE, CLASS_CODE, ENT_BY, ENT_DATE, ENT_BY_IP)</v>
      </c>
      <c r="AN296" s="12" t="str">
        <f t="shared" si="165"/>
        <v>VALUES('08804337','RequestDetails.aspx', 'USER', '01', '08', 'ABDUL', SYSDATE, '10.6.100.63');</v>
      </c>
      <c r="AO296" s="12" t="str">
        <f t="shared" si="139"/>
        <v>INSERT INTO sy_perm_list (USER_CD, OPT_CD, ACCESS_TYPE, BRANCH_CODE, CLASS_CODE, ENT_BY, ENT_DATE, ENT_BY_IP)</v>
      </c>
      <c r="AP296" s="12" t="str">
        <f t="shared" si="166"/>
        <v>VALUES('08804337','TodaysRequest.aspx', 'USER', '01', '08', 'ABDUL', SYSDATE, '10.6.100.63');</v>
      </c>
    </row>
    <row r="297" spans="1:42" ht="78" thickBot="1" x14ac:dyDescent="0.3">
      <c r="A297" s="37"/>
      <c r="B297" s="37" t="s">
        <v>1381</v>
      </c>
      <c r="C297" s="37"/>
      <c r="D297" s="37"/>
      <c r="E297" s="37"/>
      <c r="F297" s="37"/>
      <c r="G297" s="37"/>
      <c r="H297" s="37"/>
      <c r="I297" s="37"/>
      <c r="J297" s="63" t="s">
        <v>1382</v>
      </c>
      <c r="K297" s="63" t="s">
        <v>1383</v>
      </c>
      <c r="L297" s="63" t="s">
        <v>1384</v>
      </c>
      <c r="M297" s="55" t="s">
        <v>1385</v>
      </c>
      <c r="N297" s="37"/>
      <c r="O297" s="37"/>
      <c r="P297" s="37"/>
      <c r="Q297" s="37"/>
      <c r="R297" s="37"/>
      <c r="S29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7" s="12" t="str">
        <f t="shared" si="155"/>
        <v>VALUES('08804898','Cybex Technologies Integrated (Private) Limited','Salaam@123','Y','N',sysdate,'016', 'C', 'Client', 'Majid Mateen','01','B', '08', 'ABDUL', sysdate, '10.6.100.63', '08804898');</v>
      </c>
      <c r="U297" s="12" t="str">
        <f t="shared" si="119"/>
        <v>INSERT INTO sy_user_branches (USER_CD, BRANCH_CODE, CLASS_CODE, ENT_BY, ENT_DATE, ENT_BY_IP)</v>
      </c>
      <c r="V297" s="12" t="str">
        <f t="shared" si="156"/>
        <v>values('08804898','01', '08', 'ABDUL', sysdate, '10.6.100.63');</v>
      </c>
      <c r="W297" s="12" t="str">
        <f t="shared" si="121"/>
        <v>INSERT INTO sy_perm_list (USER_CD, OPT_CD, ACCESS_TYPE, BRANCH_CODE, CLASS_CODE, ENT_BY, ENT_DATE, ENT_BY_IP)</v>
      </c>
      <c r="X297" s="12" t="str">
        <f t="shared" si="157"/>
        <v>VALUES('08804898','ClaimComments.aspx', 'USER', '01', '08', 'ABDUL', SYSDATE, '10.6.100.63');</v>
      </c>
      <c r="Y297" s="12" t="str">
        <f t="shared" si="123"/>
        <v>INSERT INTO sy_perm_list (USER_CD, OPT_CD, ACCESS_TYPE, BRANCH_CODE, CLASS_CODE, ENT_BY, ENT_DATE, ENT_BY_IP)</v>
      </c>
      <c r="Z297" s="12" t="str">
        <f t="shared" si="158"/>
        <v>VALUES('08804898','ClaimDocs.aspx', 'USER', '01', '08', 'ABDUL', SYSDATE, '10.6.100.63');</v>
      </c>
      <c r="AA297" s="12" t="str">
        <f t="shared" si="125"/>
        <v>INSERT INTO sy_perm_list (USER_CD, OPT_CD, ACCESS_TYPE, BRANCH_CODE, CLASS_CODE, ENT_BY, ENT_DATE, ENT_BY_IP)</v>
      </c>
      <c r="AB297" s="12" t="str">
        <f t="shared" si="159"/>
        <v>VALUES('08804898','Client.aspx', 'USER', '01', '08', 'ABDUL', SYSDATE, '10.6.100.63');</v>
      </c>
      <c r="AC297" s="12" t="str">
        <f t="shared" si="127"/>
        <v>INSERT INTO sy_perm_list (USER_CD, OPT_CD, ACCESS_TYPE, BRANCH_CODE, CLASS_CODE, ENT_BY, ENT_DATE, ENT_BY_IP)</v>
      </c>
      <c r="AD297" s="12" t="str">
        <f t="shared" si="160"/>
        <v>VALUES('08804898','ClientReports.aspx', 'USER', '01', '08', 'ABDUL', SYSDATE, '10.6.100.63');</v>
      </c>
      <c r="AE297" s="12" t="str">
        <f t="shared" si="129"/>
        <v>INSERT INTO sy_perm_list (USER_CD, OPT_CD, ACCESS_TYPE, BRANCH_CODE, CLASS_CODE, ENT_BY, ENT_DATE, ENT_BY_IP)</v>
      </c>
      <c r="AF297" s="12" t="str">
        <f t="shared" si="161"/>
        <v>VALUES('08804898','ClientRequests.aspx', 'USER', '01', '08', 'ABDUL', SYSDATE, '10.6.100.63');</v>
      </c>
      <c r="AG297" s="12" t="str">
        <f t="shared" si="131"/>
        <v>INSERT INTO sy_perm_list (USER_CD, OPT_CD, ACCESS_TYPE, BRANCH_CODE, CLASS_CODE, ENT_BY, ENT_DATE, ENT_BY_IP)</v>
      </c>
      <c r="AH297" s="12" t="str">
        <f t="shared" si="162"/>
        <v>VALUES('08804898','HealthLife.aspx', 'USER', '01', '08', 'ABDUL', SYSDATE, '10.6.100.63');</v>
      </c>
      <c r="AI297" s="12" t="str">
        <f t="shared" si="133"/>
        <v>INSERT INTO sy_perm_list (USER_CD, OPT_CD, ACCESS_TYPE, BRANCH_CODE, CLASS_CODE, ENT_BY, ENT_DATE, ENT_BY_IP)</v>
      </c>
      <c r="AJ297" s="12" t="str">
        <f t="shared" si="163"/>
        <v>VALUES('08804898','IpdClaim.aspx', 'USER', '01', '08', 'ABDUL', SYSDATE, '10.6.100.63');</v>
      </c>
      <c r="AK297" s="12" t="str">
        <f t="shared" si="135"/>
        <v>INSERT INTO sy_perm_list (USER_CD, OPT_CD, ACCESS_TYPE, BRANCH_CODE, CLASS_CODE, ENT_BY, ENT_DATE, ENT_BY_IP)</v>
      </c>
      <c r="AL297" s="12" t="str">
        <f t="shared" si="164"/>
        <v>VALUES('08804898','OpdClaim.aspx', 'USER', '01', '08', 'ABDUL', SYSDATE, '10.6.100.63');</v>
      </c>
      <c r="AM297" s="12" t="str">
        <f t="shared" si="137"/>
        <v>INSERT INTO sy_perm_list (USER_CD, OPT_CD, ACCESS_TYPE, BRANCH_CODE, CLASS_CODE, ENT_BY, ENT_DATE, ENT_BY_IP)</v>
      </c>
      <c r="AN297" s="12" t="str">
        <f t="shared" si="165"/>
        <v>VALUES('08804898','RequestDetails.aspx', 'USER', '01', '08', 'ABDUL', SYSDATE, '10.6.100.63');</v>
      </c>
      <c r="AO297" s="12" t="str">
        <f t="shared" si="139"/>
        <v>INSERT INTO sy_perm_list (USER_CD, OPT_CD, ACCESS_TYPE, BRANCH_CODE, CLASS_CODE, ENT_BY, ENT_DATE, ENT_BY_IP)</v>
      </c>
      <c r="AP297" s="12" t="str">
        <f t="shared" si="166"/>
        <v>VALUES('08804898','TodaysRequest.aspx', 'USER', '01', '08', 'ABDUL', SYSDATE, '10.6.100.63');</v>
      </c>
    </row>
    <row r="298" spans="1:42" ht="78" x14ac:dyDescent="0.3">
      <c r="A298" s="37"/>
      <c r="B298" s="37" t="s">
        <v>1386</v>
      </c>
      <c r="C298" s="37"/>
      <c r="D298" s="37"/>
      <c r="E298" s="37"/>
      <c r="F298" s="37"/>
      <c r="G298" s="37"/>
      <c r="H298" s="37"/>
      <c r="I298" s="37"/>
      <c r="J298" s="36" t="s">
        <v>1390</v>
      </c>
      <c r="K298" s="77" t="s">
        <v>1387</v>
      </c>
      <c r="L298" s="77" t="s">
        <v>1388</v>
      </c>
      <c r="M298" s="11" t="s">
        <v>1389</v>
      </c>
      <c r="N298" s="37"/>
      <c r="O298" s="37"/>
      <c r="P298" s="37"/>
      <c r="Q298" s="37"/>
      <c r="R298" s="37"/>
      <c r="S29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8" s="12" t="str">
        <f t="shared" si="155"/>
        <v>VALUES('08804785','HR Solutions','Salaam@123','Y','N',sysdate,'016', 'C', 'Client', 'Irfan Afridi','01','B', '08', 'ABDUL', sysdate, '10.6.100.63', '08804785');</v>
      </c>
      <c r="U298" s="12" t="str">
        <f t="shared" si="119"/>
        <v>INSERT INTO sy_user_branches (USER_CD, BRANCH_CODE, CLASS_CODE, ENT_BY, ENT_DATE, ENT_BY_IP)</v>
      </c>
      <c r="V298" s="12" t="str">
        <f t="shared" si="156"/>
        <v>values('08804785','01', '08', 'ABDUL', sysdate, '10.6.100.63');</v>
      </c>
      <c r="W298" s="12" t="str">
        <f t="shared" si="121"/>
        <v>INSERT INTO sy_perm_list (USER_CD, OPT_CD, ACCESS_TYPE, BRANCH_CODE, CLASS_CODE, ENT_BY, ENT_DATE, ENT_BY_IP)</v>
      </c>
      <c r="X298" s="12" t="str">
        <f t="shared" si="157"/>
        <v>VALUES('08804785','ClaimComments.aspx', 'USER', '01', '08', 'ABDUL', SYSDATE, '10.6.100.63');</v>
      </c>
      <c r="Y298" s="12" t="str">
        <f t="shared" si="123"/>
        <v>INSERT INTO sy_perm_list (USER_CD, OPT_CD, ACCESS_TYPE, BRANCH_CODE, CLASS_CODE, ENT_BY, ENT_DATE, ENT_BY_IP)</v>
      </c>
      <c r="Z298" s="12" t="str">
        <f t="shared" si="158"/>
        <v>VALUES('08804785','ClaimDocs.aspx', 'USER', '01', '08', 'ABDUL', SYSDATE, '10.6.100.63');</v>
      </c>
      <c r="AA298" s="12" t="str">
        <f t="shared" si="125"/>
        <v>INSERT INTO sy_perm_list (USER_CD, OPT_CD, ACCESS_TYPE, BRANCH_CODE, CLASS_CODE, ENT_BY, ENT_DATE, ENT_BY_IP)</v>
      </c>
      <c r="AB298" s="12" t="str">
        <f t="shared" si="159"/>
        <v>VALUES('08804785','Client.aspx', 'USER', '01', '08', 'ABDUL', SYSDATE, '10.6.100.63');</v>
      </c>
      <c r="AC298" s="12" t="str">
        <f t="shared" si="127"/>
        <v>INSERT INTO sy_perm_list (USER_CD, OPT_CD, ACCESS_TYPE, BRANCH_CODE, CLASS_CODE, ENT_BY, ENT_DATE, ENT_BY_IP)</v>
      </c>
      <c r="AD298" s="12" t="str">
        <f t="shared" si="160"/>
        <v>VALUES('08804785','ClientReports.aspx', 'USER', '01', '08', 'ABDUL', SYSDATE, '10.6.100.63');</v>
      </c>
      <c r="AE298" s="12" t="str">
        <f t="shared" si="129"/>
        <v>INSERT INTO sy_perm_list (USER_CD, OPT_CD, ACCESS_TYPE, BRANCH_CODE, CLASS_CODE, ENT_BY, ENT_DATE, ENT_BY_IP)</v>
      </c>
      <c r="AF298" s="12" t="str">
        <f t="shared" si="161"/>
        <v>VALUES('08804785','ClientRequests.aspx', 'USER', '01', '08', 'ABDUL', SYSDATE, '10.6.100.63');</v>
      </c>
      <c r="AG298" s="12" t="str">
        <f t="shared" si="131"/>
        <v>INSERT INTO sy_perm_list (USER_CD, OPT_CD, ACCESS_TYPE, BRANCH_CODE, CLASS_CODE, ENT_BY, ENT_DATE, ENT_BY_IP)</v>
      </c>
      <c r="AH298" s="12" t="str">
        <f t="shared" si="162"/>
        <v>VALUES('08804785','HealthLife.aspx', 'USER', '01', '08', 'ABDUL', SYSDATE, '10.6.100.63');</v>
      </c>
      <c r="AI298" s="12" t="str">
        <f t="shared" si="133"/>
        <v>INSERT INTO sy_perm_list (USER_CD, OPT_CD, ACCESS_TYPE, BRANCH_CODE, CLASS_CODE, ENT_BY, ENT_DATE, ENT_BY_IP)</v>
      </c>
      <c r="AJ298" s="12" t="str">
        <f t="shared" si="163"/>
        <v>VALUES('08804785','IpdClaim.aspx', 'USER', '01', '08', 'ABDUL', SYSDATE, '10.6.100.63');</v>
      </c>
      <c r="AK298" s="12" t="str">
        <f t="shared" si="135"/>
        <v>INSERT INTO sy_perm_list (USER_CD, OPT_CD, ACCESS_TYPE, BRANCH_CODE, CLASS_CODE, ENT_BY, ENT_DATE, ENT_BY_IP)</v>
      </c>
      <c r="AL298" s="12" t="str">
        <f t="shared" si="164"/>
        <v>VALUES('08804785','OpdClaim.aspx', 'USER', '01', '08', 'ABDUL', SYSDATE, '10.6.100.63');</v>
      </c>
      <c r="AM298" s="12" t="str">
        <f t="shared" si="137"/>
        <v>INSERT INTO sy_perm_list (USER_CD, OPT_CD, ACCESS_TYPE, BRANCH_CODE, CLASS_CODE, ENT_BY, ENT_DATE, ENT_BY_IP)</v>
      </c>
      <c r="AN298" s="12" t="str">
        <f t="shared" si="165"/>
        <v>VALUES('08804785','RequestDetails.aspx', 'USER', '01', '08', 'ABDUL', SYSDATE, '10.6.100.63');</v>
      </c>
      <c r="AO298" s="12" t="str">
        <f t="shared" si="139"/>
        <v>INSERT INTO sy_perm_list (USER_CD, OPT_CD, ACCESS_TYPE, BRANCH_CODE, CLASS_CODE, ENT_BY, ENT_DATE, ENT_BY_IP)</v>
      </c>
      <c r="AP298" s="12" t="str">
        <f t="shared" si="166"/>
        <v>VALUES('08804785','TodaysRequest.aspx', 'USER', '01', '08', 'ABDUL', SYSDATE, '10.6.100.63');</v>
      </c>
    </row>
    <row r="299" spans="1:42" ht="78" thickBot="1" x14ac:dyDescent="0.3">
      <c r="A299" s="37"/>
      <c r="B299" s="37" t="s">
        <v>1391</v>
      </c>
      <c r="C299" s="37"/>
      <c r="D299" s="37"/>
      <c r="E299" s="37"/>
      <c r="F299" s="37"/>
      <c r="G299" s="37"/>
      <c r="H299" s="37"/>
      <c r="I299" s="37"/>
      <c r="J299" s="54" t="s">
        <v>1392</v>
      </c>
      <c r="K299" s="54" t="s">
        <v>1393</v>
      </c>
      <c r="L299" s="54" t="s">
        <v>1394</v>
      </c>
      <c r="M299" s="55" t="s">
        <v>1395</v>
      </c>
      <c r="N299" s="37"/>
      <c r="O299" s="37"/>
      <c r="P299" s="37"/>
      <c r="Q299" s="37"/>
      <c r="R299" s="37"/>
      <c r="S29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299" s="12" t="str">
        <f t="shared" si="155"/>
        <v>VALUES('08804906','Conductivity Career &amp; HR Solutions','Salaam@123','Y','N',sysdate,'016', 'C', 'Client', 'Mirza Faiza Baig','01','B', '08', 'ABDUL', sysdate, '10.6.100.63', '08804906');</v>
      </c>
      <c r="U299" s="12" t="str">
        <f t="shared" si="119"/>
        <v>INSERT INTO sy_user_branches (USER_CD, BRANCH_CODE, CLASS_CODE, ENT_BY, ENT_DATE, ENT_BY_IP)</v>
      </c>
      <c r="V299" s="12" t="str">
        <f t="shared" si="156"/>
        <v>values('08804906','01', '08', 'ABDUL', sysdate, '10.6.100.63');</v>
      </c>
      <c r="W299" s="12" t="str">
        <f t="shared" si="121"/>
        <v>INSERT INTO sy_perm_list (USER_CD, OPT_CD, ACCESS_TYPE, BRANCH_CODE, CLASS_CODE, ENT_BY, ENT_DATE, ENT_BY_IP)</v>
      </c>
      <c r="X299" s="12" t="str">
        <f t="shared" si="157"/>
        <v>VALUES('08804906','ClaimComments.aspx', 'USER', '01', '08', 'ABDUL', SYSDATE, '10.6.100.63');</v>
      </c>
      <c r="Y299" s="12" t="str">
        <f t="shared" si="123"/>
        <v>INSERT INTO sy_perm_list (USER_CD, OPT_CD, ACCESS_TYPE, BRANCH_CODE, CLASS_CODE, ENT_BY, ENT_DATE, ENT_BY_IP)</v>
      </c>
      <c r="Z299" s="12" t="str">
        <f t="shared" si="158"/>
        <v>VALUES('08804906','ClaimDocs.aspx', 'USER', '01', '08', 'ABDUL', SYSDATE, '10.6.100.63');</v>
      </c>
      <c r="AA299" s="12" t="str">
        <f t="shared" si="125"/>
        <v>INSERT INTO sy_perm_list (USER_CD, OPT_CD, ACCESS_TYPE, BRANCH_CODE, CLASS_CODE, ENT_BY, ENT_DATE, ENT_BY_IP)</v>
      </c>
      <c r="AB299" s="12" t="str">
        <f t="shared" si="159"/>
        <v>VALUES('08804906','Client.aspx', 'USER', '01', '08', 'ABDUL', SYSDATE, '10.6.100.63');</v>
      </c>
      <c r="AC299" s="12" t="str">
        <f t="shared" si="127"/>
        <v>INSERT INTO sy_perm_list (USER_CD, OPT_CD, ACCESS_TYPE, BRANCH_CODE, CLASS_CODE, ENT_BY, ENT_DATE, ENT_BY_IP)</v>
      </c>
      <c r="AD299" s="12" t="str">
        <f t="shared" si="160"/>
        <v>VALUES('08804906','ClientReports.aspx', 'USER', '01', '08', 'ABDUL', SYSDATE, '10.6.100.63');</v>
      </c>
      <c r="AE299" s="12" t="str">
        <f t="shared" si="129"/>
        <v>INSERT INTO sy_perm_list (USER_CD, OPT_CD, ACCESS_TYPE, BRANCH_CODE, CLASS_CODE, ENT_BY, ENT_DATE, ENT_BY_IP)</v>
      </c>
      <c r="AF299" s="12" t="str">
        <f t="shared" si="161"/>
        <v>VALUES('08804906','ClientRequests.aspx', 'USER', '01', '08', 'ABDUL', SYSDATE, '10.6.100.63');</v>
      </c>
      <c r="AG299" s="12" t="str">
        <f t="shared" si="131"/>
        <v>INSERT INTO sy_perm_list (USER_CD, OPT_CD, ACCESS_TYPE, BRANCH_CODE, CLASS_CODE, ENT_BY, ENT_DATE, ENT_BY_IP)</v>
      </c>
      <c r="AH299" s="12" t="str">
        <f t="shared" si="162"/>
        <v>VALUES('08804906','HealthLife.aspx', 'USER', '01', '08', 'ABDUL', SYSDATE, '10.6.100.63');</v>
      </c>
      <c r="AI299" s="12" t="str">
        <f t="shared" si="133"/>
        <v>INSERT INTO sy_perm_list (USER_CD, OPT_CD, ACCESS_TYPE, BRANCH_CODE, CLASS_CODE, ENT_BY, ENT_DATE, ENT_BY_IP)</v>
      </c>
      <c r="AJ299" s="12" t="str">
        <f t="shared" si="163"/>
        <v>VALUES('08804906','IpdClaim.aspx', 'USER', '01', '08', 'ABDUL', SYSDATE, '10.6.100.63');</v>
      </c>
      <c r="AK299" s="12" t="str">
        <f t="shared" si="135"/>
        <v>INSERT INTO sy_perm_list (USER_CD, OPT_CD, ACCESS_TYPE, BRANCH_CODE, CLASS_CODE, ENT_BY, ENT_DATE, ENT_BY_IP)</v>
      </c>
      <c r="AL299" s="12" t="str">
        <f t="shared" si="164"/>
        <v>VALUES('08804906','OpdClaim.aspx', 'USER', '01', '08', 'ABDUL', SYSDATE, '10.6.100.63');</v>
      </c>
      <c r="AM299" s="12" t="str">
        <f t="shared" si="137"/>
        <v>INSERT INTO sy_perm_list (USER_CD, OPT_CD, ACCESS_TYPE, BRANCH_CODE, CLASS_CODE, ENT_BY, ENT_DATE, ENT_BY_IP)</v>
      </c>
      <c r="AN299" s="12" t="str">
        <f t="shared" si="165"/>
        <v>VALUES('08804906','RequestDetails.aspx', 'USER', '01', '08', 'ABDUL', SYSDATE, '10.6.100.63');</v>
      </c>
      <c r="AO299" s="12" t="str">
        <f t="shared" si="139"/>
        <v>INSERT INTO sy_perm_list (USER_CD, OPT_CD, ACCESS_TYPE, BRANCH_CODE, CLASS_CODE, ENT_BY, ENT_DATE, ENT_BY_IP)</v>
      </c>
      <c r="AP299" s="12" t="str">
        <f t="shared" si="166"/>
        <v>VALUES('08804906','TodaysRequest.aspx', 'USER', '01', '08', 'ABDUL', SYSDATE, '10.6.100.63');</v>
      </c>
    </row>
    <row r="300" spans="1:42" ht="78" thickBot="1" x14ac:dyDescent="0.3">
      <c r="A300" s="37"/>
      <c r="B300" s="37" t="s">
        <v>1396</v>
      </c>
      <c r="C300" s="37"/>
      <c r="D300" s="37"/>
      <c r="E300" s="37"/>
      <c r="F300" s="37"/>
      <c r="G300" s="37"/>
      <c r="H300" s="37"/>
      <c r="I300" s="37"/>
      <c r="J300" s="54" t="s">
        <v>1397</v>
      </c>
      <c r="K300" s="54" t="s">
        <v>1398</v>
      </c>
      <c r="L300" s="54" t="s">
        <v>1399</v>
      </c>
      <c r="M300" s="55" t="s">
        <v>1400</v>
      </c>
      <c r="N300" s="37"/>
      <c r="O300" s="37"/>
      <c r="P300" s="37"/>
      <c r="Q300" s="37"/>
      <c r="R300" s="37"/>
      <c r="S30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0" s="12" t="str">
        <f t="shared" si="155"/>
        <v>VALUES('08804664','Coatinks (Pvt) Limited','Salaam@123','Y','N',sysdate,'016', 'C', 'Client', 'Ahsan Mansoor','01','B', '08', 'ABDUL', sysdate, '10.6.100.63', '08804664');</v>
      </c>
      <c r="U300" s="12" t="str">
        <f t="shared" si="119"/>
        <v>INSERT INTO sy_user_branches (USER_CD, BRANCH_CODE, CLASS_CODE, ENT_BY, ENT_DATE, ENT_BY_IP)</v>
      </c>
      <c r="V300" s="12" t="str">
        <f t="shared" si="156"/>
        <v>values('08804664','01', '08', 'ABDUL', sysdate, '10.6.100.63');</v>
      </c>
      <c r="W300" s="12" t="str">
        <f t="shared" si="121"/>
        <v>INSERT INTO sy_perm_list (USER_CD, OPT_CD, ACCESS_TYPE, BRANCH_CODE, CLASS_CODE, ENT_BY, ENT_DATE, ENT_BY_IP)</v>
      </c>
      <c r="X300" s="12" t="str">
        <f t="shared" si="157"/>
        <v>VALUES('08804664','ClaimComments.aspx', 'USER', '01', '08', 'ABDUL', SYSDATE, '10.6.100.63');</v>
      </c>
      <c r="Y300" s="12" t="str">
        <f t="shared" si="123"/>
        <v>INSERT INTO sy_perm_list (USER_CD, OPT_CD, ACCESS_TYPE, BRANCH_CODE, CLASS_CODE, ENT_BY, ENT_DATE, ENT_BY_IP)</v>
      </c>
      <c r="Z300" s="12" t="str">
        <f t="shared" si="158"/>
        <v>VALUES('08804664','ClaimDocs.aspx', 'USER', '01', '08', 'ABDUL', SYSDATE, '10.6.100.63');</v>
      </c>
      <c r="AA300" s="12" t="str">
        <f t="shared" si="125"/>
        <v>INSERT INTO sy_perm_list (USER_CD, OPT_CD, ACCESS_TYPE, BRANCH_CODE, CLASS_CODE, ENT_BY, ENT_DATE, ENT_BY_IP)</v>
      </c>
      <c r="AB300" s="12" t="str">
        <f t="shared" si="159"/>
        <v>VALUES('08804664','Client.aspx', 'USER', '01', '08', 'ABDUL', SYSDATE, '10.6.100.63');</v>
      </c>
      <c r="AC300" s="12" t="str">
        <f t="shared" si="127"/>
        <v>INSERT INTO sy_perm_list (USER_CD, OPT_CD, ACCESS_TYPE, BRANCH_CODE, CLASS_CODE, ENT_BY, ENT_DATE, ENT_BY_IP)</v>
      </c>
      <c r="AD300" s="12" t="str">
        <f t="shared" si="160"/>
        <v>VALUES('08804664','ClientReports.aspx', 'USER', '01', '08', 'ABDUL', SYSDATE, '10.6.100.63');</v>
      </c>
      <c r="AE300" s="12" t="str">
        <f t="shared" si="129"/>
        <v>INSERT INTO sy_perm_list (USER_CD, OPT_CD, ACCESS_TYPE, BRANCH_CODE, CLASS_CODE, ENT_BY, ENT_DATE, ENT_BY_IP)</v>
      </c>
      <c r="AF300" s="12" t="str">
        <f t="shared" si="161"/>
        <v>VALUES('08804664','ClientRequests.aspx', 'USER', '01', '08', 'ABDUL', SYSDATE, '10.6.100.63');</v>
      </c>
      <c r="AG300" s="12" t="str">
        <f t="shared" si="131"/>
        <v>INSERT INTO sy_perm_list (USER_CD, OPT_CD, ACCESS_TYPE, BRANCH_CODE, CLASS_CODE, ENT_BY, ENT_DATE, ENT_BY_IP)</v>
      </c>
      <c r="AH300" s="12" t="str">
        <f t="shared" si="162"/>
        <v>VALUES('08804664','HealthLife.aspx', 'USER', '01', '08', 'ABDUL', SYSDATE, '10.6.100.63');</v>
      </c>
      <c r="AI300" s="12" t="str">
        <f t="shared" si="133"/>
        <v>INSERT INTO sy_perm_list (USER_CD, OPT_CD, ACCESS_TYPE, BRANCH_CODE, CLASS_CODE, ENT_BY, ENT_DATE, ENT_BY_IP)</v>
      </c>
      <c r="AJ300" s="12" t="str">
        <f t="shared" si="163"/>
        <v>VALUES('08804664','IpdClaim.aspx', 'USER', '01', '08', 'ABDUL', SYSDATE, '10.6.100.63');</v>
      </c>
      <c r="AK300" s="12" t="str">
        <f t="shared" si="135"/>
        <v>INSERT INTO sy_perm_list (USER_CD, OPT_CD, ACCESS_TYPE, BRANCH_CODE, CLASS_CODE, ENT_BY, ENT_DATE, ENT_BY_IP)</v>
      </c>
      <c r="AL300" s="12" t="str">
        <f t="shared" si="164"/>
        <v>VALUES('08804664','OpdClaim.aspx', 'USER', '01', '08', 'ABDUL', SYSDATE, '10.6.100.63');</v>
      </c>
      <c r="AM300" s="12" t="str">
        <f t="shared" si="137"/>
        <v>INSERT INTO sy_perm_list (USER_CD, OPT_CD, ACCESS_TYPE, BRANCH_CODE, CLASS_CODE, ENT_BY, ENT_DATE, ENT_BY_IP)</v>
      </c>
      <c r="AN300" s="12" t="str">
        <f t="shared" si="165"/>
        <v>VALUES('08804664','RequestDetails.aspx', 'USER', '01', '08', 'ABDUL', SYSDATE, '10.6.100.63');</v>
      </c>
      <c r="AO300" s="12" t="str">
        <f t="shared" si="139"/>
        <v>INSERT INTO sy_perm_list (USER_CD, OPT_CD, ACCESS_TYPE, BRANCH_CODE, CLASS_CODE, ENT_BY, ENT_DATE, ENT_BY_IP)</v>
      </c>
      <c r="AP300" s="12" t="str">
        <f t="shared" si="166"/>
        <v>VALUES('08804664','TodaysRequest.aspx', 'USER', '01', '08', 'ABDUL', SYSDATE, '10.6.100.63');</v>
      </c>
    </row>
    <row r="301" spans="1:42" ht="78" thickBot="1" x14ac:dyDescent="0.3">
      <c r="A301" s="37"/>
      <c r="B301" s="37" t="s">
        <v>1401</v>
      </c>
      <c r="C301" s="37"/>
      <c r="D301" s="37"/>
      <c r="E301" s="37"/>
      <c r="F301" s="37"/>
      <c r="G301" s="37"/>
      <c r="H301" s="37"/>
      <c r="I301" s="37"/>
      <c r="J301" s="54" t="s">
        <v>1402</v>
      </c>
      <c r="K301" s="54" t="s">
        <v>1403</v>
      </c>
      <c r="L301" s="54" t="s">
        <v>1404</v>
      </c>
      <c r="M301" s="55" t="s">
        <v>1405</v>
      </c>
      <c r="N301" s="37"/>
      <c r="O301" s="37"/>
      <c r="P301" s="37"/>
      <c r="Q301" s="37"/>
      <c r="R301" s="37"/>
      <c r="S30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1" s="12" t="str">
        <f t="shared" si="155"/>
        <v>VALUES('08804910','AUS Solutions (SMC-Private) Limited','Salaam@123','Y','N',sysdate,'016', 'C', 'Client', 'Jawad Gung','01','B', '08', 'ABDUL', sysdate, '10.6.100.63', '08804910');</v>
      </c>
      <c r="U301" s="12" t="str">
        <f t="shared" si="119"/>
        <v>INSERT INTO sy_user_branches (USER_CD, BRANCH_CODE, CLASS_CODE, ENT_BY, ENT_DATE, ENT_BY_IP)</v>
      </c>
      <c r="V301" s="12" t="str">
        <f t="shared" si="156"/>
        <v>values('08804910','01', '08', 'ABDUL', sysdate, '10.6.100.63');</v>
      </c>
      <c r="W301" s="12" t="str">
        <f t="shared" si="121"/>
        <v>INSERT INTO sy_perm_list (USER_CD, OPT_CD, ACCESS_TYPE, BRANCH_CODE, CLASS_CODE, ENT_BY, ENT_DATE, ENT_BY_IP)</v>
      </c>
      <c r="X301" s="12" t="str">
        <f t="shared" si="157"/>
        <v>VALUES('08804910','ClaimComments.aspx', 'USER', '01', '08', 'ABDUL', SYSDATE, '10.6.100.63');</v>
      </c>
      <c r="Y301" s="12" t="str">
        <f t="shared" si="123"/>
        <v>INSERT INTO sy_perm_list (USER_CD, OPT_CD, ACCESS_TYPE, BRANCH_CODE, CLASS_CODE, ENT_BY, ENT_DATE, ENT_BY_IP)</v>
      </c>
      <c r="Z301" s="12" t="str">
        <f t="shared" si="158"/>
        <v>VALUES('08804910','ClaimDocs.aspx', 'USER', '01', '08', 'ABDUL', SYSDATE, '10.6.100.63');</v>
      </c>
      <c r="AA301" s="12" t="str">
        <f t="shared" si="125"/>
        <v>INSERT INTO sy_perm_list (USER_CD, OPT_CD, ACCESS_TYPE, BRANCH_CODE, CLASS_CODE, ENT_BY, ENT_DATE, ENT_BY_IP)</v>
      </c>
      <c r="AB301" s="12" t="str">
        <f t="shared" si="159"/>
        <v>VALUES('08804910','Client.aspx', 'USER', '01', '08', 'ABDUL', SYSDATE, '10.6.100.63');</v>
      </c>
      <c r="AC301" s="12" t="str">
        <f t="shared" si="127"/>
        <v>INSERT INTO sy_perm_list (USER_CD, OPT_CD, ACCESS_TYPE, BRANCH_CODE, CLASS_CODE, ENT_BY, ENT_DATE, ENT_BY_IP)</v>
      </c>
      <c r="AD301" s="12" t="str">
        <f t="shared" si="160"/>
        <v>VALUES('08804910','ClientReports.aspx', 'USER', '01', '08', 'ABDUL', SYSDATE, '10.6.100.63');</v>
      </c>
      <c r="AE301" s="12" t="str">
        <f t="shared" si="129"/>
        <v>INSERT INTO sy_perm_list (USER_CD, OPT_CD, ACCESS_TYPE, BRANCH_CODE, CLASS_CODE, ENT_BY, ENT_DATE, ENT_BY_IP)</v>
      </c>
      <c r="AF301" s="12" t="str">
        <f t="shared" si="161"/>
        <v>VALUES('08804910','ClientRequests.aspx', 'USER', '01', '08', 'ABDUL', SYSDATE, '10.6.100.63');</v>
      </c>
      <c r="AG301" s="12" t="str">
        <f t="shared" si="131"/>
        <v>INSERT INTO sy_perm_list (USER_CD, OPT_CD, ACCESS_TYPE, BRANCH_CODE, CLASS_CODE, ENT_BY, ENT_DATE, ENT_BY_IP)</v>
      </c>
      <c r="AH301" s="12" t="str">
        <f t="shared" si="162"/>
        <v>VALUES('08804910','HealthLife.aspx', 'USER', '01', '08', 'ABDUL', SYSDATE, '10.6.100.63');</v>
      </c>
      <c r="AI301" s="12" t="str">
        <f t="shared" si="133"/>
        <v>INSERT INTO sy_perm_list (USER_CD, OPT_CD, ACCESS_TYPE, BRANCH_CODE, CLASS_CODE, ENT_BY, ENT_DATE, ENT_BY_IP)</v>
      </c>
      <c r="AJ301" s="12" t="str">
        <f t="shared" si="163"/>
        <v>VALUES('08804910','IpdClaim.aspx', 'USER', '01', '08', 'ABDUL', SYSDATE, '10.6.100.63');</v>
      </c>
      <c r="AK301" s="12" t="str">
        <f t="shared" si="135"/>
        <v>INSERT INTO sy_perm_list (USER_CD, OPT_CD, ACCESS_TYPE, BRANCH_CODE, CLASS_CODE, ENT_BY, ENT_DATE, ENT_BY_IP)</v>
      </c>
      <c r="AL301" s="12" t="str">
        <f t="shared" si="164"/>
        <v>VALUES('08804910','OpdClaim.aspx', 'USER', '01', '08', 'ABDUL', SYSDATE, '10.6.100.63');</v>
      </c>
      <c r="AM301" s="12" t="str">
        <f t="shared" si="137"/>
        <v>INSERT INTO sy_perm_list (USER_CD, OPT_CD, ACCESS_TYPE, BRANCH_CODE, CLASS_CODE, ENT_BY, ENT_DATE, ENT_BY_IP)</v>
      </c>
      <c r="AN301" s="12" t="str">
        <f t="shared" si="165"/>
        <v>VALUES('08804910','RequestDetails.aspx', 'USER', '01', '08', 'ABDUL', SYSDATE, '10.6.100.63');</v>
      </c>
      <c r="AO301" s="12" t="str">
        <f t="shared" si="139"/>
        <v>INSERT INTO sy_perm_list (USER_CD, OPT_CD, ACCESS_TYPE, BRANCH_CODE, CLASS_CODE, ENT_BY, ENT_DATE, ENT_BY_IP)</v>
      </c>
      <c r="AP301" s="12" t="str">
        <f t="shared" si="166"/>
        <v>VALUES('08804910','TodaysRequest.aspx', 'USER', '01', '08', 'ABDUL', SYSDATE, '10.6.100.63');</v>
      </c>
    </row>
    <row r="302" spans="1:42" ht="78" thickBot="1" x14ac:dyDescent="0.3">
      <c r="A302" s="37"/>
      <c r="B302" s="37" t="s">
        <v>1406</v>
      </c>
      <c r="C302" s="37"/>
      <c r="D302" s="37"/>
      <c r="E302" s="37"/>
      <c r="F302" s="37"/>
      <c r="G302" s="37"/>
      <c r="H302" s="37"/>
      <c r="I302" s="37"/>
      <c r="J302" s="54" t="s">
        <v>1407</v>
      </c>
      <c r="K302" s="54" t="s">
        <v>1408</v>
      </c>
      <c r="L302" s="54" t="s">
        <v>1399</v>
      </c>
      <c r="M302" s="55" t="s">
        <v>1400</v>
      </c>
      <c r="N302" s="37"/>
      <c r="O302" s="37"/>
      <c r="P302" s="37"/>
      <c r="Q302" s="37"/>
      <c r="R302" s="37"/>
      <c r="S30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2" s="12" t="str">
        <f t="shared" si="155"/>
        <v>VALUES('088046641','Daihan Ink Pakistan','Salaam@123','Y','N',sysdate,'016', 'C', 'Client', 'Ahsan Mansoor','01','B', '08', 'ABDUL', sysdate, '10.6.100.63', '088046641');</v>
      </c>
      <c r="U302" s="12" t="str">
        <f t="shared" si="119"/>
        <v>INSERT INTO sy_user_branches (USER_CD, BRANCH_CODE, CLASS_CODE, ENT_BY, ENT_DATE, ENT_BY_IP)</v>
      </c>
      <c r="V302" s="12" t="str">
        <f t="shared" si="156"/>
        <v>values('088046641','01', '08', 'ABDUL', sysdate, '10.6.100.63');</v>
      </c>
      <c r="W302" s="12" t="str">
        <f t="shared" si="121"/>
        <v>INSERT INTO sy_perm_list (USER_CD, OPT_CD, ACCESS_TYPE, BRANCH_CODE, CLASS_CODE, ENT_BY, ENT_DATE, ENT_BY_IP)</v>
      </c>
      <c r="X302" s="12" t="str">
        <f t="shared" si="157"/>
        <v>VALUES('088046641','ClaimComments.aspx', 'USER', '01', '08', 'ABDUL', SYSDATE, '10.6.100.63');</v>
      </c>
      <c r="Y302" s="12" t="str">
        <f t="shared" si="123"/>
        <v>INSERT INTO sy_perm_list (USER_CD, OPT_CD, ACCESS_TYPE, BRANCH_CODE, CLASS_CODE, ENT_BY, ENT_DATE, ENT_BY_IP)</v>
      </c>
      <c r="Z302" s="12" t="str">
        <f t="shared" si="158"/>
        <v>VALUES('088046641','ClaimDocs.aspx', 'USER', '01', '08', 'ABDUL', SYSDATE, '10.6.100.63');</v>
      </c>
      <c r="AA302" s="12" t="str">
        <f t="shared" si="125"/>
        <v>INSERT INTO sy_perm_list (USER_CD, OPT_CD, ACCESS_TYPE, BRANCH_CODE, CLASS_CODE, ENT_BY, ENT_DATE, ENT_BY_IP)</v>
      </c>
      <c r="AB302" s="12" t="str">
        <f t="shared" si="159"/>
        <v>VALUES('088046641','Client.aspx', 'USER', '01', '08', 'ABDUL', SYSDATE, '10.6.100.63');</v>
      </c>
      <c r="AC302" s="12" t="str">
        <f t="shared" si="127"/>
        <v>INSERT INTO sy_perm_list (USER_CD, OPT_CD, ACCESS_TYPE, BRANCH_CODE, CLASS_CODE, ENT_BY, ENT_DATE, ENT_BY_IP)</v>
      </c>
      <c r="AD302" s="12" t="str">
        <f t="shared" si="160"/>
        <v>VALUES('088046641','ClientReports.aspx', 'USER', '01', '08', 'ABDUL', SYSDATE, '10.6.100.63');</v>
      </c>
      <c r="AE302" s="12" t="str">
        <f t="shared" si="129"/>
        <v>INSERT INTO sy_perm_list (USER_CD, OPT_CD, ACCESS_TYPE, BRANCH_CODE, CLASS_CODE, ENT_BY, ENT_DATE, ENT_BY_IP)</v>
      </c>
      <c r="AF302" s="12" t="str">
        <f t="shared" si="161"/>
        <v>VALUES('088046641','ClientRequests.aspx', 'USER', '01', '08', 'ABDUL', SYSDATE, '10.6.100.63');</v>
      </c>
      <c r="AG302" s="12" t="str">
        <f t="shared" si="131"/>
        <v>INSERT INTO sy_perm_list (USER_CD, OPT_CD, ACCESS_TYPE, BRANCH_CODE, CLASS_CODE, ENT_BY, ENT_DATE, ENT_BY_IP)</v>
      </c>
      <c r="AH302" s="12" t="str">
        <f t="shared" si="162"/>
        <v>VALUES('088046641','HealthLife.aspx', 'USER', '01', '08', 'ABDUL', SYSDATE, '10.6.100.63');</v>
      </c>
      <c r="AI302" s="12" t="str">
        <f t="shared" si="133"/>
        <v>INSERT INTO sy_perm_list (USER_CD, OPT_CD, ACCESS_TYPE, BRANCH_CODE, CLASS_CODE, ENT_BY, ENT_DATE, ENT_BY_IP)</v>
      </c>
      <c r="AJ302" s="12" t="str">
        <f t="shared" si="163"/>
        <v>VALUES('088046641','IpdClaim.aspx', 'USER', '01', '08', 'ABDUL', SYSDATE, '10.6.100.63');</v>
      </c>
      <c r="AK302" s="12" t="str">
        <f t="shared" si="135"/>
        <v>INSERT INTO sy_perm_list (USER_CD, OPT_CD, ACCESS_TYPE, BRANCH_CODE, CLASS_CODE, ENT_BY, ENT_DATE, ENT_BY_IP)</v>
      </c>
      <c r="AL302" s="12" t="str">
        <f t="shared" si="164"/>
        <v>VALUES('088046641','OpdClaim.aspx', 'USER', '01', '08', 'ABDUL', SYSDATE, '10.6.100.63');</v>
      </c>
      <c r="AM302" s="12" t="str">
        <f t="shared" si="137"/>
        <v>INSERT INTO sy_perm_list (USER_CD, OPT_CD, ACCESS_TYPE, BRANCH_CODE, CLASS_CODE, ENT_BY, ENT_DATE, ENT_BY_IP)</v>
      </c>
      <c r="AN302" s="12" t="str">
        <f t="shared" si="165"/>
        <v>VALUES('088046641','RequestDetails.aspx', 'USER', '01', '08', 'ABDUL', SYSDATE, '10.6.100.63');</v>
      </c>
      <c r="AO302" s="12" t="str">
        <f t="shared" si="139"/>
        <v>INSERT INTO sy_perm_list (USER_CD, OPT_CD, ACCESS_TYPE, BRANCH_CODE, CLASS_CODE, ENT_BY, ENT_DATE, ENT_BY_IP)</v>
      </c>
      <c r="AP302" s="12" t="str">
        <f t="shared" si="166"/>
        <v>VALUES('088046641','TodaysRequest.aspx', 'USER', '01', '08', 'ABDUL', SYSDATE, '10.6.100.63');</v>
      </c>
    </row>
    <row r="303" spans="1:42" ht="77.25" x14ac:dyDescent="0.25">
      <c r="A303" s="37"/>
      <c r="B303" s="37" t="s">
        <v>1409</v>
      </c>
      <c r="C303" s="37"/>
      <c r="D303" s="37"/>
      <c r="E303" s="37"/>
      <c r="F303" s="37"/>
      <c r="G303" s="37"/>
      <c r="H303" s="37"/>
      <c r="I303" s="37"/>
      <c r="J303" s="59" t="s">
        <v>1410</v>
      </c>
      <c r="K303" s="58" t="s">
        <v>1411</v>
      </c>
      <c r="L303" s="36" t="s">
        <v>1413</v>
      </c>
      <c r="M303" s="11" t="s">
        <v>1412</v>
      </c>
      <c r="N303" s="37"/>
      <c r="O303" s="37"/>
      <c r="P303" s="37"/>
      <c r="Q303" s="37"/>
      <c r="R303" s="37"/>
      <c r="S30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3" s="12" t="str">
        <f t="shared" si="155"/>
        <v>VALUES('08804654','Codeninja (Pvt) Limited','Salaam@123','Y','N',sysdate,'016', 'C', 'Client', 'Syeda Maha Mahmood','01','B', '08', 'ABDUL', sysdate, '10.6.100.63', '08804654');</v>
      </c>
      <c r="U303" s="12" t="str">
        <f t="shared" si="119"/>
        <v>INSERT INTO sy_user_branches (USER_CD, BRANCH_CODE, CLASS_CODE, ENT_BY, ENT_DATE, ENT_BY_IP)</v>
      </c>
      <c r="V303" s="12" t="str">
        <f t="shared" si="156"/>
        <v>values('08804654','01', '08', 'ABDUL', sysdate, '10.6.100.63');</v>
      </c>
      <c r="W303" s="12" t="str">
        <f t="shared" si="121"/>
        <v>INSERT INTO sy_perm_list (USER_CD, OPT_CD, ACCESS_TYPE, BRANCH_CODE, CLASS_CODE, ENT_BY, ENT_DATE, ENT_BY_IP)</v>
      </c>
      <c r="X303" s="12" t="str">
        <f t="shared" si="157"/>
        <v>VALUES('08804654','ClaimComments.aspx', 'USER', '01', '08', 'ABDUL', SYSDATE, '10.6.100.63');</v>
      </c>
      <c r="Y303" s="12" t="str">
        <f t="shared" si="123"/>
        <v>INSERT INTO sy_perm_list (USER_CD, OPT_CD, ACCESS_TYPE, BRANCH_CODE, CLASS_CODE, ENT_BY, ENT_DATE, ENT_BY_IP)</v>
      </c>
      <c r="Z303" s="12" t="str">
        <f t="shared" si="158"/>
        <v>VALUES('08804654','ClaimDocs.aspx', 'USER', '01', '08', 'ABDUL', SYSDATE, '10.6.100.63');</v>
      </c>
      <c r="AA303" s="12" t="str">
        <f t="shared" si="125"/>
        <v>INSERT INTO sy_perm_list (USER_CD, OPT_CD, ACCESS_TYPE, BRANCH_CODE, CLASS_CODE, ENT_BY, ENT_DATE, ENT_BY_IP)</v>
      </c>
      <c r="AB303" s="12" t="str">
        <f t="shared" si="159"/>
        <v>VALUES('08804654','Client.aspx', 'USER', '01', '08', 'ABDUL', SYSDATE, '10.6.100.63');</v>
      </c>
      <c r="AC303" s="12" t="str">
        <f t="shared" si="127"/>
        <v>INSERT INTO sy_perm_list (USER_CD, OPT_CD, ACCESS_TYPE, BRANCH_CODE, CLASS_CODE, ENT_BY, ENT_DATE, ENT_BY_IP)</v>
      </c>
      <c r="AD303" s="12" t="str">
        <f t="shared" si="160"/>
        <v>VALUES('08804654','ClientReports.aspx', 'USER', '01', '08', 'ABDUL', SYSDATE, '10.6.100.63');</v>
      </c>
      <c r="AE303" s="12" t="str">
        <f t="shared" si="129"/>
        <v>INSERT INTO sy_perm_list (USER_CD, OPT_CD, ACCESS_TYPE, BRANCH_CODE, CLASS_CODE, ENT_BY, ENT_DATE, ENT_BY_IP)</v>
      </c>
      <c r="AF303" s="12" t="str">
        <f t="shared" si="161"/>
        <v>VALUES('08804654','ClientRequests.aspx', 'USER', '01', '08', 'ABDUL', SYSDATE, '10.6.100.63');</v>
      </c>
      <c r="AG303" s="12" t="str">
        <f t="shared" si="131"/>
        <v>INSERT INTO sy_perm_list (USER_CD, OPT_CD, ACCESS_TYPE, BRANCH_CODE, CLASS_CODE, ENT_BY, ENT_DATE, ENT_BY_IP)</v>
      </c>
      <c r="AH303" s="12" t="str">
        <f t="shared" si="162"/>
        <v>VALUES('08804654','HealthLife.aspx', 'USER', '01', '08', 'ABDUL', SYSDATE, '10.6.100.63');</v>
      </c>
      <c r="AI303" s="12" t="str">
        <f t="shared" si="133"/>
        <v>INSERT INTO sy_perm_list (USER_CD, OPT_CD, ACCESS_TYPE, BRANCH_CODE, CLASS_CODE, ENT_BY, ENT_DATE, ENT_BY_IP)</v>
      </c>
      <c r="AJ303" s="12" t="str">
        <f t="shared" si="163"/>
        <v>VALUES('08804654','IpdClaim.aspx', 'USER', '01', '08', 'ABDUL', SYSDATE, '10.6.100.63');</v>
      </c>
      <c r="AK303" s="12" t="str">
        <f t="shared" si="135"/>
        <v>INSERT INTO sy_perm_list (USER_CD, OPT_CD, ACCESS_TYPE, BRANCH_CODE, CLASS_CODE, ENT_BY, ENT_DATE, ENT_BY_IP)</v>
      </c>
      <c r="AL303" s="12" t="str">
        <f t="shared" si="164"/>
        <v>VALUES('08804654','OpdClaim.aspx', 'USER', '01', '08', 'ABDUL', SYSDATE, '10.6.100.63');</v>
      </c>
      <c r="AM303" s="12" t="str">
        <f t="shared" si="137"/>
        <v>INSERT INTO sy_perm_list (USER_CD, OPT_CD, ACCESS_TYPE, BRANCH_CODE, CLASS_CODE, ENT_BY, ENT_DATE, ENT_BY_IP)</v>
      </c>
      <c r="AN303" s="12" t="str">
        <f t="shared" si="165"/>
        <v>VALUES('08804654','RequestDetails.aspx', 'USER', '01', '08', 'ABDUL', SYSDATE, '10.6.100.63');</v>
      </c>
      <c r="AO303" s="12" t="str">
        <f t="shared" si="139"/>
        <v>INSERT INTO sy_perm_list (USER_CD, OPT_CD, ACCESS_TYPE, BRANCH_CODE, CLASS_CODE, ENT_BY, ENT_DATE, ENT_BY_IP)</v>
      </c>
      <c r="AP303" s="12" t="str">
        <f t="shared" si="166"/>
        <v>VALUES('08804654','TodaysRequest.aspx', 'USER', '01', '08', 'ABDUL', SYSDATE, '10.6.100.63');</v>
      </c>
    </row>
    <row r="304" spans="1:42" ht="78" thickBot="1" x14ac:dyDescent="0.3">
      <c r="A304" s="37"/>
      <c r="B304" s="37" t="s">
        <v>1414</v>
      </c>
      <c r="C304" s="37"/>
      <c r="D304" s="37"/>
      <c r="E304" s="37"/>
      <c r="F304" s="37"/>
      <c r="G304" s="37"/>
      <c r="H304" s="37"/>
      <c r="I304" s="37"/>
      <c r="J304" s="46" t="s">
        <v>1415</v>
      </c>
      <c r="K304" s="46" t="s">
        <v>1416</v>
      </c>
      <c r="L304" s="37"/>
      <c r="M304" s="37"/>
      <c r="N304" s="37"/>
      <c r="O304" s="37"/>
      <c r="P304" s="37"/>
      <c r="Q304" s="37"/>
      <c r="R304" s="37"/>
      <c r="S30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4" s="12" t="str">
        <f t="shared" ref="T304:T309" si="167">"VALUES('"&amp;B304&amp;"','"&amp;K304&amp;"','Salaam@123','Y','N',sysdate,'016', 'C', 'Client', '"&amp;L304&amp;"','01','B', '08', 'ABDUL', sysdate, '10.6.100.63', '"&amp;B304&amp;"');"</f>
        <v>VALUES('08805028','Brainwave Technologies','Salaam@123','Y','N',sysdate,'016', 'C', 'Client', '','01','B', '08', 'ABDUL', sysdate, '10.6.100.63', '08805028');</v>
      </c>
      <c r="U304" s="12" t="str">
        <f t="shared" si="119"/>
        <v>INSERT INTO sy_user_branches (USER_CD, BRANCH_CODE, CLASS_CODE, ENT_BY, ENT_DATE, ENT_BY_IP)</v>
      </c>
      <c r="V304" s="12" t="str">
        <f t="shared" ref="V304:V309" si="168">"values('"&amp;B304&amp;"','01', '08', 'ABDUL', sysdate, '10.6.100.63');"</f>
        <v>values('08805028','01', '08', 'ABDUL', sysdate, '10.6.100.63');</v>
      </c>
      <c r="W304" s="12" t="str">
        <f t="shared" si="121"/>
        <v>INSERT INTO sy_perm_list (USER_CD, OPT_CD, ACCESS_TYPE, BRANCH_CODE, CLASS_CODE, ENT_BY, ENT_DATE, ENT_BY_IP)</v>
      </c>
      <c r="X304" s="12" t="str">
        <f t="shared" ref="X304:X309" si="169">"VALUES('"&amp;B304&amp;"','ClaimComments.aspx', 'USER', '01', '08', 'ABDUL', SYSDATE, '10.6.100.63');"</f>
        <v>VALUES('08805028','ClaimComments.aspx', 'USER', '01', '08', 'ABDUL', SYSDATE, '10.6.100.63');</v>
      </c>
      <c r="Y304" s="12" t="str">
        <f t="shared" si="123"/>
        <v>INSERT INTO sy_perm_list (USER_CD, OPT_CD, ACCESS_TYPE, BRANCH_CODE, CLASS_CODE, ENT_BY, ENT_DATE, ENT_BY_IP)</v>
      </c>
      <c r="Z304" s="12" t="str">
        <f t="shared" ref="Z304:Z309" si="170">"VALUES('"&amp;B304&amp;"','ClaimDocs.aspx', 'USER', '01', '08', 'ABDUL', SYSDATE, '10.6.100.63');"</f>
        <v>VALUES('08805028','ClaimDocs.aspx', 'USER', '01', '08', 'ABDUL', SYSDATE, '10.6.100.63');</v>
      </c>
      <c r="AA304" s="12" t="str">
        <f t="shared" si="125"/>
        <v>INSERT INTO sy_perm_list (USER_CD, OPT_CD, ACCESS_TYPE, BRANCH_CODE, CLASS_CODE, ENT_BY, ENT_DATE, ENT_BY_IP)</v>
      </c>
      <c r="AB304" s="12" t="str">
        <f t="shared" ref="AB304:AB309" si="171">"VALUES('"&amp;B304&amp;"','Client.aspx', 'USER', '01', '08', 'ABDUL', SYSDATE, '10.6.100.63');"</f>
        <v>VALUES('08805028','Client.aspx', 'USER', '01', '08', 'ABDUL', SYSDATE, '10.6.100.63');</v>
      </c>
      <c r="AC304" s="12" t="str">
        <f t="shared" si="127"/>
        <v>INSERT INTO sy_perm_list (USER_CD, OPT_CD, ACCESS_TYPE, BRANCH_CODE, CLASS_CODE, ENT_BY, ENT_DATE, ENT_BY_IP)</v>
      </c>
      <c r="AD304" s="12" t="str">
        <f t="shared" ref="AD304:AD309" si="172">"VALUES('"&amp;B304&amp;"','ClientReports.aspx', 'USER', '01', '08', 'ABDUL', SYSDATE, '10.6.100.63');"</f>
        <v>VALUES('08805028','ClientReports.aspx', 'USER', '01', '08', 'ABDUL', SYSDATE, '10.6.100.63');</v>
      </c>
      <c r="AE304" s="12" t="str">
        <f t="shared" si="129"/>
        <v>INSERT INTO sy_perm_list (USER_CD, OPT_CD, ACCESS_TYPE, BRANCH_CODE, CLASS_CODE, ENT_BY, ENT_DATE, ENT_BY_IP)</v>
      </c>
      <c r="AF304" s="12" t="str">
        <f t="shared" ref="AF304:AF309" si="173">"VALUES('"&amp;B304&amp;"','ClientRequests.aspx', 'USER', '01', '08', 'ABDUL', SYSDATE, '10.6.100.63');"</f>
        <v>VALUES('08805028','ClientRequests.aspx', 'USER', '01', '08', 'ABDUL', SYSDATE, '10.6.100.63');</v>
      </c>
      <c r="AG304" s="12" t="str">
        <f t="shared" si="131"/>
        <v>INSERT INTO sy_perm_list (USER_CD, OPT_CD, ACCESS_TYPE, BRANCH_CODE, CLASS_CODE, ENT_BY, ENT_DATE, ENT_BY_IP)</v>
      </c>
      <c r="AH304" s="12" t="str">
        <f t="shared" ref="AH304:AH309" si="174">"VALUES('"&amp;B304&amp;"','HealthLife.aspx', 'USER', '01', '08', 'ABDUL', SYSDATE, '10.6.100.63');"</f>
        <v>VALUES('08805028','HealthLife.aspx', 'USER', '01', '08', 'ABDUL', SYSDATE, '10.6.100.63');</v>
      </c>
      <c r="AI304" s="12" t="str">
        <f t="shared" si="133"/>
        <v>INSERT INTO sy_perm_list (USER_CD, OPT_CD, ACCESS_TYPE, BRANCH_CODE, CLASS_CODE, ENT_BY, ENT_DATE, ENT_BY_IP)</v>
      </c>
      <c r="AJ304" s="12" t="str">
        <f t="shared" ref="AJ304:AJ309" si="175">"VALUES('"&amp;B304&amp;"','IpdClaim.aspx', 'USER', '01', '08', 'ABDUL', SYSDATE, '10.6.100.63');"</f>
        <v>VALUES('08805028','IpdClaim.aspx', 'USER', '01', '08', 'ABDUL', SYSDATE, '10.6.100.63');</v>
      </c>
      <c r="AK304" s="12" t="str">
        <f t="shared" si="135"/>
        <v>INSERT INTO sy_perm_list (USER_CD, OPT_CD, ACCESS_TYPE, BRANCH_CODE, CLASS_CODE, ENT_BY, ENT_DATE, ENT_BY_IP)</v>
      </c>
      <c r="AL304" s="12" t="str">
        <f t="shared" ref="AL304:AL309" si="176">"VALUES('"&amp;B304&amp;"','OpdClaim.aspx', 'USER', '01', '08', 'ABDUL', SYSDATE, '10.6.100.63');"</f>
        <v>VALUES('08805028','OpdClaim.aspx', 'USER', '01', '08', 'ABDUL', SYSDATE, '10.6.100.63');</v>
      </c>
      <c r="AM304" s="12" t="str">
        <f t="shared" si="137"/>
        <v>INSERT INTO sy_perm_list (USER_CD, OPT_CD, ACCESS_TYPE, BRANCH_CODE, CLASS_CODE, ENT_BY, ENT_DATE, ENT_BY_IP)</v>
      </c>
      <c r="AN304" s="12" t="str">
        <f t="shared" ref="AN304:AN309" si="177">"VALUES('"&amp;B304&amp;"','RequestDetails.aspx', 'USER', '01', '08', 'ABDUL', SYSDATE, '10.6.100.63');"</f>
        <v>VALUES('08805028','RequestDetails.aspx', 'USER', '01', '08', 'ABDUL', SYSDATE, '10.6.100.63');</v>
      </c>
      <c r="AO304" s="12" t="str">
        <f t="shared" si="139"/>
        <v>INSERT INTO sy_perm_list (USER_CD, OPT_CD, ACCESS_TYPE, BRANCH_CODE, CLASS_CODE, ENT_BY, ENT_DATE, ENT_BY_IP)</v>
      </c>
      <c r="AP304" s="12" t="str">
        <f t="shared" ref="AP304:AP309" si="178">"VALUES('"&amp;B304&amp;"','TodaysRequest.aspx', 'USER', '01', '08', 'ABDUL', SYSDATE, '10.6.100.63');"</f>
        <v>VALUES('08805028','TodaysRequest.aspx', 'USER', '01', '08', 'ABDUL', SYSDATE, '10.6.100.63');</v>
      </c>
    </row>
    <row r="305" spans="1:42" ht="78" thickBot="1" x14ac:dyDescent="0.3">
      <c r="A305" s="37"/>
      <c r="B305" s="37" t="s">
        <v>1417</v>
      </c>
      <c r="C305" s="37"/>
      <c r="D305" s="37"/>
      <c r="E305" s="37"/>
      <c r="F305" s="37"/>
      <c r="G305" s="37"/>
      <c r="H305" s="37"/>
      <c r="I305" s="37"/>
      <c r="J305" s="54" t="s">
        <v>1418</v>
      </c>
      <c r="K305" s="54" t="s">
        <v>1421</v>
      </c>
      <c r="L305" s="54" t="s">
        <v>1423</v>
      </c>
      <c r="M305" s="55" t="s">
        <v>1424</v>
      </c>
      <c r="N305" s="37"/>
      <c r="O305" s="37"/>
      <c r="P305" s="37"/>
      <c r="Q305" s="37"/>
      <c r="R305" s="37"/>
      <c r="S30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5" s="12" t="str">
        <f t="shared" si="167"/>
        <v>VALUES('08803223','Brote Technologies','Salaam@123','Y','N',sysdate,'016', 'C', 'Client', 'Sharmeen Mehmood','01','B', '08', 'ABDUL', sysdate, '10.6.100.63', '08803223');</v>
      </c>
      <c r="U305" s="12" t="str">
        <f t="shared" si="119"/>
        <v>INSERT INTO sy_user_branches (USER_CD, BRANCH_CODE, CLASS_CODE, ENT_BY, ENT_DATE, ENT_BY_IP)</v>
      </c>
      <c r="V305" s="12" t="str">
        <f t="shared" si="168"/>
        <v>values('08803223','01', '08', 'ABDUL', sysdate, '10.6.100.63');</v>
      </c>
      <c r="W305" s="12" t="str">
        <f t="shared" si="121"/>
        <v>INSERT INTO sy_perm_list (USER_CD, OPT_CD, ACCESS_TYPE, BRANCH_CODE, CLASS_CODE, ENT_BY, ENT_DATE, ENT_BY_IP)</v>
      </c>
      <c r="X305" s="12" t="str">
        <f t="shared" si="169"/>
        <v>VALUES('08803223','ClaimComments.aspx', 'USER', '01', '08', 'ABDUL', SYSDATE, '10.6.100.63');</v>
      </c>
      <c r="Y305" s="12" t="str">
        <f t="shared" si="123"/>
        <v>INSERT INTO sy_perm_list (USER_CD, OPT_CD, ACCESS_TYPE, BRANCH_CODE, CLASS_CODE, ENT_BY, ENT_DATE, ENT_BY_IP)</v>
      </c>
      <c r="Z305" s="12" t="str">
        <f t="shared" si="170"/>
        <v>VALUES('08803223','ClaimDocs.aspx', 'USER', '01', '08', 'ABDUL', SYSDATE, '10.6.100.63');</v>
      </c>
      <c r="AA305" s="12" t="str">
        <f t="shared" si="125"/>
        <v>INSERT INTO sy_perm_list (USER_CD, OPT_CD, ACCESS_TYPE, BRANCH_CODE, CLASS_CODE, ENT_BY, ENT_DATE, ENT_BY_IP)</v>
      </c>
      <c r="AB305" s="12" t="str">
        <f t="shared" si="171"/>
        <v>VALUES('08803223','Client.aspx', 'USER', '01', '08', 'ABDUL', SYSDATE, '10.6.100.63');</v>
      </c>
      <c r="AC305" s="12" t="str">
        <f t="shared" si="127"/>
        <v>INSERT INTO sy_perm_list (USER_CD, OPT_CD, ACCESS_TYPE, BRANCH_CODE, CLASS_CODE, ENT_BY, ENT_DATE, ENT_BY_IP)</v>
      </c>
      <c r="AD305" s="12" t="str">
        <f t="shared" si="172"/>
        <v>VALUES('08803223','ClientReports.aspx', 'USER', '01', '08', 'ABDUL', SYSDATE, '10.6.100.63');</v>
      </c>
      <c r="AE305" s="12" t="str">
        <f t="shared" si="129"/>
        <v>INSERT INTO sy_perm_list (USER_CD, OPT_CD, ACCESS_TYPE, BRANCH_CODE, CLASS_CODE, ENT_BY, ENT_DATE, ENT_BY_IP)</v>
      </c>
      <c r="AF305" s="12" t="str">
        <f t="shared" si="173"/>
        <v>VALUES('08803223','ClientRequests.aspx', 'USER', '01', '08', 'ABDUL', SYSDATE, '10.6.100.63');</v>
      </c>
      <c r="AG305" s="12" t="str">
        <f t="shared" si="131"/>
        <v>INSERT INTO sy_perm_list (USER_CD, OPT_CD, ACCESS_TYPE, BRANCH_CODE, CLASS_CODE, ENT_BY, ENT_DATE, ENT_BY_IP)</v>
      </c>
      <c r="AH305" s="12" t="str">
        <f t="shared" si="174"/>
        <v>VALUES('08803223','HealthLife.aspx', 'USER', '01', '08', 'ABDUL', SYSDATE, '10.6.100.63');</v>
      </c>
      <c r="AI305" s="12" t="str">
        <f t="shared" si="133"/>
        <v>INSERT INTO sy_perm_list (USER_CD, OPT_CD, ACCESS_TYPE, BRANCH_CODE, CLASS_CODE, ENT_BY, ENT_DATE, ENT_BY_IP)</v>
      </c>
      <c r="AJ305" s="12" t="str">
        <f t="shared" si="175"/>
        <v>VALUES('08803223','IpdClaim.aspx', 'USER', '01', '08', 'ABDUL', SYSDATE, '10.6.100.63');</v>
      </c>
      <c r="AK305" s="12" t="str">
        <f t="shared" si="135"/>
        <v>INSERT INTO sy_perm_list (USER_CD, OPT_CD, ACCESS_TYPE, BRANCH_CODE, CLASS_CODE, ENT_BY, ENT_DATE, ENT_BY_IP)</v>
      </c>
      <c r="AL305" s="12" t="str">
        <f t="shared" si="176"/>
        <v>VALUES('08803223','OpdClaim.aspx', 'USER', '01', '08', 'ABDUL', SYSDATE, '10.6.100.63');</v>
      </c>
      <c r="AM305" s="12" t="str">
        <f t="shared" si="137"/>
        <v>INSERT INTO sy_perm_list (USER_CD, OPT_CD, ACCESS_TYPE, BRANCH_CODE, CLASS_CODE, ENT_BY, ENT_DATE, ENT_BY_IP)</v>
      </c>
      <c r="AN305" s="12" t="str">
        <f t="shared" si="177"/>
        <v>VALUES('08803223','RequestDetails.aspx', 'USER', '01', '08', 'ABDUL', SYSDATE, '10.6.100.63');</v>
      </c>
      <c r="AO305" s="12" t="str">
        <f t="shared" si="139"/>
        <v>INSERT INTO sy_perm_list (USER_CD, OPT_CD, ACCESS_TYPE, BRANCH_CODE, CLASS_CODE, ENT_BY, ENT_DATE, ENT_BY_IP)</v>
      </c>
      <c r="AP305" s="12" t="str">
        <f t="shared" si="178"/>
        <v>VALUES('08803223','TodaysRequest.aspx', 'USER', '01', '08', 'ABDUL', SYSDATE, '10.6.100.63');</v>
      </c>
    </row>
    <row r="306" spans="1:42" ht="78" thickBot="1" x14ac:dyDescent="0.3">
      <c r="A306" s="37"/>
      <c r="B306" s="37" t="s">
        <v>1420</v>
      </c>
      <c r="C306" s="37"/>
      <c r="D306" s="37"/>
      <c r="E306" s="37"/>
      <c r="F306" s="37"/>
      <c r="G306" s="37"/>
      <c r="H306" s="37"/>
      <c r="I306" s="37"/>
      <c r="J306" s="54" t="s">
        <v>1419</v>
      </c>
      <c r="K306" s="54" t="s">
        <v>1422</v>
      </c>
      <c r="L306" s="54" t="s">
        <v>120</v>
      </c>
      <c r="M306" s="55" t="s">
        <v>1425</v>
      </c>
      <c r="N306" s="37"/>
      <c r="O306" s="37"/>
      <c r="P306" s="37"/>
      <c r="Q306" s="37"/>
      <c r="R306" s="37"/>
      <c r="S30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6" s="12" t="str">
        <f t="shared" si="167"/>
        <v>VALUES('08803225','IMPULZ  TECHNOLOGIES','Salaam@123','Y','N',sysdate,'016', 'C', 'Client', 'Qasim Muhammad','01','B', '08', 'ABDUL', sysdate, '10.6.100.63', '08803225');</v>
      </c>
      <c r="U306" s="12" t="str">
        <f t="shared" si="119"/>
        <v>INSERT INTO sy_user_branches (USER_CD, BRANCH_CODE, CLASS_CODE, ENT_BY, ENT_DATE, ENT_BY_IP)</v>
      </c>
      <c r="V306" s="12" t="str">
        <f t="shared" si="168"/>
        <v>values('08803225','01', '08', 'ABDUL', sysdate, '10.6.100.63');</v>
      </c>
      <c r="W306" s="12" t="str">
        <f t="shared" si="121"/>
        <v>INSERT INTO sy_perm_list (USER_CD, OPT_CD, ACCESS_TYPE, BRANCH_CODE, CLASS_CODE, ENT_BY, ENT_DATE, ENT_BY_IP)</v>
      </c>
      <c r="X306" s="12" t="str">
        <f t="shared" si="169"/>
        <v>VALUES('08803225','ClaimComments.aspx', 'USER', '01', '08', 'ABDUL', SYSDATE, '10.6.100.63');</v>
      </c>
      <c r="Y306" s="12" t="str">
        <f t="shared" si="123"/>
        <v>INSERT INTO sy_perm_list (USER_CD, OPT_CD, ACCESS_TYPE, BRANCH_CODE, CLASS_CODE, ENT_BY, ENT_DATE, ENT_BY_IP)</v>
      </c>
      <c r="Z306" s="12" t="str">
        <f t="shared" si="170"/>
        <v>VALUES('08803225','ClaimDocs.aspx', 'USER', '01', '08', 'ABDUL', SYSDATE, '10.6.100.63');</v>
      </c>
      <c r="AA306" s="12" t="str">
        <f t="shared" si="125"/>
        <v>INSERT INTO sy_perm_list (USER_CD, OPT_CD, ACCESS_TYPE, BRANCH_CODE, CLASS_CODE, ENT_BY, ENT_DATE, ENT_BY_IP)</v>
      </c>
      <c r="AB306" s="12" t="str">
        <f t="shared" si="171"/>
        <v>VALUES('08803225','Client.aspx', 'USER', '01', '08', 'ABDUL', SYSDATE, '10.6.100.63');</v>
      </c>
      <c r="AC306" s="12" t="str">
        <f t="shared" si="127"/>
        <v>INSERT INTO sy_perm_list (USER_CD, OPT_CD, ACCESS_TYPE, BRANCH_CODE, CLASS_CODE, ENT_BY, ENT_DATE, ENT_BY_IP)</v>
      </c>
      <c r="AD306" s="12" t="str">
        <f t="shared" si="172"/>
        <v>VALUES('08803225','ClientReports.aspx', 'USER', '01', '08', 'ABDUL', SYSDATE, '10.6.100.63');</v>
      </c>
      <c r="AE306" s="12" t="str">
        <f t="shared" si="129"/>
        <v>INSERT INTO sy_perm_list (USER_CD, OPT_CD, ACCESS_TYPE, BRANCH_CODE, CLASS_CODE, ENT_BY, ENT_DATE, ENT_BY_IP)</v>
      </c>
      <c r="AF306" s="12" t="str">
        <f t="shared" si="173"/>
        <v>VALUES('08803225','ClientRequests.aspx', 'USER', '01', '08', 'ABDUL', SYSDATE, '10.6.100.63');</v>
      </c>
      <c r="AG306" s="12" t="str">
        <f t="shared" si="131"/>
        <v>INSERT INTO sy_perm_list (USER_CD, OPT_CD, ACCESS_TYPE, BRANCH_CODE, CLASS_CODE, ENT_BY, ENT_DATE, ENT_BY_IP)</v>
      </c>
      <c r="AH306" s="12" t="str">
        <f t="shared" si="174"/>
        <v>VALUES('08803225','HealthLife.aspx', 'USER', '01', '08', 'ABDUL', SYSDATE, '10.6.100.63');</v>
      </c>
      <c r="AI306" s="12" t="str">
        <f t="shared" si="133"/>
        <v>INSERT INTO sy_perm_list (USER_CD, OPT_CD, ACCESS_TYPE, BRANCH_CODE, CLASS_CODE, ENT_BY, ENT_DATE, ENT_BY_IP)</v>
      </c>
      <c r="AJ306" s="12" t="str">
        <f t="shared" si="175"/>
        <v>VALUES('08803225','IpdClaim.aspx', 'USER', '01', '08', 'ABDUL', SYSDATE, '10.6.100.63');</v>
      </c>
      <c r="AK306" s="12" t="str">
        <f t="shared" si="135"/>
        <v>INSERT INTO sy_perm_list (USER_CD, OPT_CD, ACCESS_TYPE, BRANCH_CODE, CLASS_CODE, ENT_BY, ENT_DATE, ENT_BY_IP)</v>
      </c>
      <c r="AL306" s="12" t="str">
        <f t="shared" si="176"/>
        <v>VALUES('08803225','OpdClaim.aspx', 'USER', '01', '08', 'ABDUL', SYSDATE, '10.6.100.63');</v>
      </c>
      <c r="AM306" s="12" t="str">
        <f t="shared" si="137"/>
        <v>INSERT INTO sy_perm_list (USER_CD, OPT_CD, ACCESS_TYPE, BRANCH_CODE, CLASS_CODE, ENT_BY, ENT_DATE, ENT_BY_IP)</v>
      </c>
      <c r="AN306" s="12" t="str">
        <f t="shared" si="177"/>
        <v>VALUES('08803225','RequestDetails.aspx', 'USER', '01', '08', 'ABDUL', SYSDATE, '10.6.100.63');</v>
      </c>
      <c r="AO306" s="12" t="str">
        <f t="shared" si="139"/>
        <v>INSERT INTO sy_perm_list (USER_CD, OPT_CD, ACCESS_TYPE, BRANCH_CODE, CLASS_CODE, ENT_BY, ENT_DATE, ENT_BY_IP)</v>
      </c>
      <c r="AP306" s="12" t="str">
        <f t="shared" si="178"/>
        <v>VALUES('08803225','TodaysRequest.aspx', 'USER', '01', '08', 'ABDUL', SYSDATE, '10.6.100.63');</v>
      </c>
    </row>
    <row r="307" spans="1:42" ht="78" thickBot="1" x14ac:dyDescent="0.3">
      <c r="A307" s="37"/>
      <c r="B307" s="37" t="s">
        <v>1427</v>
      </c>
      <c r="C307" s="37"/>
      <c r="D307" s="37"/>
      <c r="E307" s="37"/>
      <c r="F307" s="37"/>
      <c r="G307" s="37"/>
      <c r="H307" s="37"/>
      <c r="I307" s="37"/>
      <c r="J307" s="78" t="s">
        <v>1428</v>
      </c>
      <c r="K307" s="78" t="s">
        <v>1429</v>
      </c>
      <c r="L307" s="78" t="s">
        <v>1430</v>
      </c>
      <c r="M307" s="42" t="s">
        <v>1431</v>
      </c>
      <c r="N307" s="37"/>
      <c r="O307" s="37"/>
      <c r="P307" s="37"/>
      <c r="Q307" s="37"/>
      <c r="R307" s="37"/>
      <c r="S30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7" s="12" t="str">
        <f t="shared" si="167"/>
        <v>VALUES('08802459','SKYELECTRIC (PRIVATE) LIMITED','Salaam@123','Y','N',sysdate,'016', 'C', 'Client', 'Ihsan Zulfiqar','01','B', '08', 'ABDUL', sysdate, '10.6.100.63', '08802459');</v>
      </c>
      <c r="U307" s="12" t="str">
        <f t="shared" si="119"/>
        <v>INSERT INTO sy_user_branches (USER_CD, BRANCH_CODE, CLASS_CODE, ENT_BY, ENT_DATE, ENT_BY_IP)</v>
      </c>
      <c r="V307" s="12" t="str">
        <f t="shared" si="168"/>
        <v>values('08802459','01', '08', 'ABDUL', sysdate, '10.6.100.63');</v>
      </c>
      <c r="W307" s="12" t="str">
        <f t="shared" si="121"/>
        <v>INSERT INTO sy_perm_list (USER_CD, OPT_CD, ACCESS_TYPE, BRANCH_CODE, CLASS_CODE, ENT_BY, ENT_DATE, ENT_BY_IP)</v>
      </c>
      <c r="X307" s="12" t="str">
        <f t="shared" si="169"/>
        <v>VALUES('08802459','ClaimComments.aspx', 'USER', '01', '08', 'ABDUL', SYSDATE, '10.6.100.63');</v>
      </c>
      <c r="Y307" s="12" t="str">
        <f t="shared" si="123"/>
        <v>INSERT INTO sy_perm_list (USER_CD, OPT_CD, ACCESS_TYPE, BRANCH_CODE, CLASS_CODE, ENT_BY, ENT_DATE, ENT_BY_IP)</v>
      </c>
      <c r="Z307" s="12" t="str">
        <f t="shared" si="170"/>
        <v>VALUES('08802459','ClaimDocs.aspx', 'USER', '01', '08', 'ABDUL', SYSDATE, '10.6.100.63');</v>
      </c>
      <c r="AA307" s="12" t="str">
        <f t="shared" si="125"/>
        <v>INSERT INTO sy_perm_list (USER_CD, OPT_CD, ACCESS_TYPE, BRANCH_CODE, CLASS_CODE, ENT_BY, ENT_DATE, ENT_BY_IP)</v>
      </c>
      <c r="AB307" s="12" t="str">
        <f t="shared" si="171"/>
        <v>VALUES('08802459','Client.aspx', 'USER', '01', '08', 'ABDUL', SYSDATE, '10.6.100.63');</v>
      </c>
      <c r="AC307" s="12" t="str">
        <f t="shared" si="127"/>
        <v>INSERT INTO sy_perm_list (USER_CD, OPT_CD, ACCESS_TYPE, BRANCH_CODE, CLASS_CODE, ENT_BY, ENT_DATE, ENT_BY_IP)</v>
      </c>
      <c r="AD307" s="12" t="str">
        <f t="shared" si="172"/>
        <v>VALUES('08802459','ClientReports.aspx', 'USER', '01', '08', 'ABDUL', SYSDATE, '10.6.100.63');</v>
      </c>
      <c r="AE307" s="12" t="str">
        <f t="shared" si="129"/>
        <v>INSERT INTO sy_perm_list (USER_CD, OPT_CD, ACCESS_TYPE, BRANCH_CODE, CLASS_CODE, ENT_BY, ENT_DATE, ENT_BY_IP)</v>
      </c>
      <c r="AF307" s="12" t="str">
        <f t="shared" si="173"/>
        <v>VALUES('08802459','ClientRequests.aspx', 'USER', '01', '08', 'ABDUL', SYSDATE, '10.6.100.63');</v>
      </c>
      <c r="AG307" s="12" t="str">
        <f t="shared" si="131"/>
        <v>INSERT INTO sy_perm_list (USER_CD, OPT_CD, ACCESS_TYPE, BRANCH_CODE, CLASS_CODE, ENT_BY, ENT_DATE, ENT_BY_IP)</v>
      </c>
      <c r="AH307" s="12" t="str">
        <f t="shared" si="174"/>
        <v>VALUES('08802459','HealthLife.aspx', 'USER', '01', '08', 'ABDUL', SYSDATE, '10.6.100.63');</v>
      </c>
      <c r="AI307" s="12" t="str">
        <f t="shared" si="133"/>
        <v>INSERT INTO sy_perm_list (USER_CD, OPT_CD, ACCESS_TYPE, BRANCH_CODE, CLASS_CODE, ENT_BY, ENT_DATE, ENT_BY_IP)</v>
      </c>
      <c r="AJ307" s="12" t="str">
        <f t="shared" si="175"/>
        <v>VALUES('08802459','IpdClaim.aspx', 'USER', '01', '08', 'ABDUL', SYSDATE, '10.6.100.63');</v>
      </c>
      <c r="AK307" s="12" t="str">
        <f t="shared" si="135"/>
        <v>INSERT INTO sy_perm_list (USER_CD, OPT_CD, ACCESS_TYPE, BRANCH_CODE, CLASS_CODE, ENT_BY, ENT_DATE, ENT_BY_IP)</v>
      </c>
      <c r="AL307" s="12" t="str">
        <f t="shared" si="176"/>
        <v>VALUES('08802459','OpdClaim.aspx', 'USER', '01', '08', 'ABDUL', SYSDATE, '10.6.100.63');</v>
      </c>
      <c r="AM307" s="12" t="str">
        <f t="shared" si="137"/>
        <v>INSERT INTO sy_perm_list (USER_CD, OPT_CD, ACCESS_TYPE, BRANCH_CODE, CLASS_CODE, ENT_BY, ENT_DATE, ENT_BY_IP)</v>
      </c>
      <c r="AN307" s="12" t="str">
        <f t="shared" si="177"/>
        <v>VALUES('08802459','RequestDetails.aspx', 'USER', '01', '08', 'ABDUL', SYSDATE, '10.6.100.63');</v>
      </c>
      <c r="AO307" s="12" t="str">
        <f t="shared" si="139"/>
        <v>INSERT INTO sy_perm_list (USER_CD, OPT_CD, ACCESS_TYPE, BRANCH_CODE, CLASS_CODE, ENT_BY, ENT_DATE, ENT_BY_IP)</v>
      </c>
      <c r="AP307" s="12" t="str">
        <f t="shared" si="178"/>
        <v>VALUES('08802459','TodaysRequest.aspx', 'USER', '01', '08', 'ABDUL', SYSDATE, '10.6.100.63');</v>
      </c>
    </row>
    <row r="308" spans="1:42" ht="78" thickBot="1" x14ac:dyDescent="0.3">
      <c r="A308" s="37"/>
      <c r="B308" s="37" t="s">
        <v>1432</v>
      </c>
      <c r="C308" s="37"/>
      <c r="D308" s="37"/>
      <c r="E308" s="37"/>
      <c r="F308" s="37"/>
      <c r="G308" s="37"/>
      <c r="H308" s="37"/>
      <c r="I308" s="37"/>
      <c r="J308" s="54" t="s">
        <v>1433</v>
      </c>
      <c r="K308" s="54" t="s">
        <v>1434</v>
      </c>
      <c r="L308" s="54" t="s">
        <v>1435</v>
      </c>
      <c r="M308" s="55" t="s">
        <v>1436</v>
      </c>
      <c r="N308" s="37"/>
      <c r="O308" s="37"/>
      <c r="P308" s="37"/>
      <c r="Q308" s="37"/>
      <c r="R308" s="37"/>
      <c r="S30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8" s="12" t="str">
        <f t="shared" si="167"/>
        <v>VALUES('08805298','Baqai Institute of Pharmaceutical Sciences','Salaam@123','Y','N',sysdate,'016', 'C', 'Client', 'Khalid Mehmood','01','B', '08', 'ABDUL', sysdate, '10.6.100.63', '08805298');</v>
      </c>
      <c r="U308" s="12" t="str">
        <f t="shared" si="119"/>
        <v>INSERT INTO sy_user_branches (USER_CD, BRANCH_CODE, CLASS_CODE, ENT_BY, ENT_DATE, ENT_BY_IP)</v>
      </c>
      <c r="V308" s="12" t="str">
        <f t="shared" si="168"/>
        <v>values('08805298','01', '08', 'ABDUL', sysdate, '10.6.100.63');</v>
      </c>
      <c r="W308" s="12" t="str">
        <f t="shared" si="121"/>
        <v>INSERT INTO sy_perm_list (USER_CD, OPT_CD, ACCESS_TYPE, BRANCH_CODE, CLASS_CODE, ENT_BY, ENT_DATE, ENT_BY_IP)</v>
      </c>
      <c r="X308" s="12" t="str">
        <f t="shared" si="169"/>
        <v>VALUES('08805298','ClaimComments.aspx', 'USER', '01', '08', 'ABDUL', SYSDATE, '10.6.100.63');</v>
      </c>
      <c r="Y308" s="12" t="str">
        <f t="shared" si="123"/>
        <v>INSERT INTO sy_perm_list (USER_CD, OPT_CD, ACCESS_TYPE, BRANCH_CODE, CLASS_CODE, ENT_BY, ENT_DATE, ENT_BY_IP)</v>
      </c>
      <c r="Z308" s="12" t="str">
        <f t="shared" si="170"/>
        <v>VALUES('08805298','ClaimDocs.aspx', 'USER', '01', '08', 'ABDUL', SYSDATE, '10.6.100.63');</v>
      </c>
      <c r="AA308" s="12" t="str">
        <f t="shared" si="125"/>
        <v>INSERT INTO sy_perm_list (USER_CD, OPT_CD, ACCESS_TYPE, BRANCH_CODE, CLASS_CODE, ENT_BY, ENT_DATE, ENT_BY_IP)</v>
      </c>
      <c r="AB308" s="12" t="str">
        <f t="shared" si="171"/>
        <v>VALUES('08805298','Client.aspx', 'USER', '01', '08', 'ABDUL', SYSDATE, '10.6.100.63');</v>
      </c>
      <c r="AC308" s="12" t="str">
        <f t="shared" si="127"/>
        <v>INSERT INTO sy_perm_list (USER_CD, OPT_CD, ACCESS_TYPE, BRANCH_CODE, CLASS_CODE, ENT_BY, ENT_DATE, ENT_BY_IP)</v>
      </c>
      <c r="AD308" s="12" t="str">
        <f t="shared" si="172"/>
        <v>VALUES('08805298','ClientReports.aspx', 'USER', '01', '08', 'ABDUL', SYSDATE, '10.6.100.63');</v>
      </c>
      <c r="AE308" s="12" t="str">
        <f t="shared" si="129"/>
        <v>INSERT INTO sy_perm_list (USER_CD, OPT_CD, ACCESS_TYPE, BRANCH_CODE, CLASS_CODE, ENT_BY, ENT_DATE, ENT_BY_IP)</v>
      </c>
      <c r="AF308" s="12" t="str">
        <f t="shared" si="173"/>
        <v>VALUES('08805298','ClientRequests.aspx', 'USER', '01', '08', 'ABDUL', SYSDATE, '10.6.100.63');</v>
      </c>
      <c r="AG308" s="12" t="str">
        <f t="shared" si="131"/>
        <v>INSERT INTO sy_perm_list (USER_CD, OPT_CD, ACCESS_TYPE, BRANCH_CODE, CLASS_CODE, ENT_BY, ENT_DATE, ENT_BY_IP)</v>
      </c>
      <c r="AH308" s="12" t="str">
        <f t="shared" si="174"/>
        <v>VALUES('08805298','HealthLife.aspx', 'USER', '01', '08', 'ABDUL', SYSDATE, '10.6.100.63');</v>
      </c>
      <c r="AI308" s="12" t="str">
        <f t="shared" si="133"/>
        <v>INSERT INTO sy_perm_list (USER_CD, OPT_CD, ACCESS_TYPE, BRANCH_CODE, CLASS_CODE, ENT_BY, ENT_DATE, ENT_BY_IP)</v>
      </c>
      <c r="AJ308" s="12" t="str">
        <f t="shared" si="175"/>
        <v>VALUES('08805298','IpdClaim.aspx', 'USER', '01', '08', 'ABDUL', SYSDATE, '10.6.100.63');</v>
      </c>
      <c r="AK308" s="12" t="str">
        <f t="shared" si="135"/>
        <v>INSERT INTO sy_perm_list (USER_CD, OPT_CD, ACCESS_TYPE, BRANCH_CODE, CLASS_CODE, ENT_BY, ENT_DATE, ENT_BY_IP)</v>
      </c>
      <c r="AL308" s="12" t="str">
        <f t="shared" si="176"/>
        <v>VALUES('08805298','OpdClaim.aspx', 'USER', '01', '08', 'ABDUL', SYSDATE, '10.6.100.63');</v>
      </c>
      <c r="AM308" s="12" t="str">
        <f t="shared" si="137"/>
        <v>INSERT INTO sy_perm_list (USER_CD, OPT_CD, ACCESS_TYPE, BRANCH_CODE, CLASS_CODE, ENT_BY, ENT_DATE, ENT_BY_IP)</v>
      </c>
      <c r="AN308" s="12" t="str">
        <f t="shared" si="177"/>
        <v>VALUES('08805298','RequestDetails.aspx', 'USER', '01', '08', 'ABDUL', SYSDATE, '10.6.100.63');</v>
      </c>
      <c r="AO308" s="12" t="str">
        <f t="shared" si="139"/>
        <v>INSERT INTO sy_perm_list (USER_CD, OPT_CD, ACCESS_TYPE, BRANCH_CODE, CLASS_CODE, ENT_BY, ENT_DATE, ENT_BY_IP)</v>
      </c>
      <c r="AP308" s="12" t="str">
        <f t="shared" si="178"/>
        <v>VALUES('08805298','TodaysRequest.aspx', 'USER', '01', '08', 'ABDUL', SYSDATE, '10.6.100.63');</v>
      </c>
    </row>
    <row r="309" spans="1:42" ht="78" thickBot="1" x14ac:dyDescent="0.3">
      <c r="A309" s="37"/>
      <c r="B309" s="37" t="s">
        <v>1437</v>
      </c>
      <c r="C309" s="37"/>
      <c r="D309" s="37"/>
      <c r="E309" s="37"/>
      <c r="F309" s="37"/>
      <c r="G309" s="37"/>
      <c r="H309" s="37"/>
      <c r="I309" s="37"/>
      <c r="J309" s="54" t="s">
        <v>1438</v>
      </c>
      <c r="K309" s="54" t="s">
        <v>1439</v>
      </c>
      <c r="L309" s="54" t="s">
        <v>1440</v>
      </c>
      <c r="M309" s="55" t="s">
        <v>1441</v>
      </c>
      <c r="N309" s="37"/>
      <c r="O309" s="37"/>
      <c r="P309" s="37"/>
      <c r="Q309" s="37"/>
      <c r="R309" s="37"/>
      <c r="S30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09" s="12" t="str">
        <f t="shared" si="167"/>
        <v>VALUES('08805308','Universal Freight Systems (Private) Limited','Salaam@123','Y','N',sysdate,'016', 'C', 'Client', 'Muhammad Alkindi','01','B', '08', 'ABDUL', sysdate, '10.6.100.63', '08805308');</v>
      </c>
      <c r="U309" s="12" t="str">
        <f t="shared" si="119"/>
        <v>INSERT INTO sy_user_branches (USER_CD, BRANCH_CODE, CLASS_CODE, ENT_BY, ENT_DATE, ENT_BY_IP)</v>
      </c>
      <c r="V309" s="12" t="str">
        <f t="shared" si="168"/>
        <v>values('08805308','01', '08', 'ABDUL', sysdate, '10.6.100.63');</v>
      </c>
      <c r="W309" s="12" t="str">
        <f t="shared" si="121"/>
        <v>INSERT INTO sy_perm_list (USER_CD, OPT_CD, ACCESS_TYPE, BRANCH_CODE, CLASS_CODE, ENT_BY, ENT_DATE, ENT_BY_IP)</v>
      </c>
      <c r="X309" s="12" t="str">
        <f t="shared" si="169"/>
        <v>VALUES('08805308','ClaimComments.aspx', 'USER', '01', '08', 'ABDUL', SYSDATE, '10.6.100.63');</v>
      </c>
      <c r="Y309" s="12" t="str">
        <f t="shared" si="123"/>
        <v>INSERT INTO sy_perm_list (USER_CD, OPT_CD, ACCESS_TYPE, BRANCH_CODE, CLASS_CODE, ENT_BY, ENT_DATE, ENT_BY_IP)</v>
      </c>
      <c r="Z309" s="12" t="str">
        <f t="shared" si="170"/>
        <v>VALUES('08805308','ClaimDocs.aspx', 'USER', '01', '08', 'ABDUL', SYSDATE, '10.6.100.63');</v>
      </c>
      <c r="AA309" s="12" t="str">
        <f t="shared" si="125"/>
        <v>INSERT INTO sy_perm_list (USER_CD, OPT_CD, ACCESS_TYPE, BRANCH_CODE, CLASS_CODE, ENT_BY, ENT_DATE, ENT_BY_IP)</v>
      </c>
      <c r="AB309" s="12" t="str">
        <f t="shared" si="171"/>
        <v>VALUES('08805308','Client.aspx', 'USER', '01', '08', 'ABDUL', SYSDATE, '10.6.100.63');</v>
      </c>
      <c r="AC309" s="12" t="str">
        <f t="shared" si="127"/>
        <v>INSERT INTO sy_perm_list (USER_CD, OPT_CD, ACCESS_TYPE, BRANCH_CODE, CLASS_CODE, ENT_BY, ENT_DATE, ENT_BY_IP)</v>
      </c>
      <c r="AD309" s="12" t="str">
        <f t="shared" si="172"/>
        <v>VALUES('08805308','ClientReports.aspx', 'USER', '01', '08', 'ABDUL', SYSDATE, '10.6.100.63');</v>
      </c>
      <c r="AE309" s="12" t="str">
        <f t="shared" si="129"/>
        <v>INSERT INTO sy_perm_list (USER_CD, OPT_CD, ACCESS_TYPE, BRANCH_CODE, CLASS_CODE, ENT_BY, ENT_DATE, ENT_BY_IP)</v>
      </c>
      <c r="AF309" s="12" t="str">
        <f t="shared" si="173"/>
        <v>VALUES('08805308','ClientRequests.aspx', 'USER', '01', '08', 'ABDUL', SYSDATE, '10.6.100.63');</v>
      </c>
      <c r="AG309" s="12" t="str">
        <f t="shared" si="131"/>
        <v>INSERT INTO sy_perm_list (USER_CD, OPT_CD, ACCESS_TYPE, BRANCH_CODE, CLASS_CODE, ENT_BY, ENT_DATE, ENT_BY_IP)</v>
      </c>
      <c r="AH309" s="12" t="str">
        <f t="shared" si="174"/>
        <v>VALUES('08805308','HealthLife.aspx', 'USER', '01', '08', 'ABDUL', SYSDATE, '10.6.100.63');</v>
      </c>
      <c r="AI309" s="12" t="str">
        <f t="shared" si="133"/>
        <v>INSERT INTO sy_perm_list (USER_CD, OPT_CD, ACCESS_TYPE, BRANCH_CODE, CLASS_CODE, ENT_BY, ENT_DATE, ENT_BY_IP)</v>
      </c>
      <c r="AJ309" s="12" t="str">
        <f t="shared" si="175"/>
        <v>VALUES('08805308','IpdClaim.aspx', 'USER', '01', '08', 'ABDUL', SYSDATE, '10.6.100.63');</v>
      </c>
      <c r="AK309" s="12" t="str">
        <f t="shared" si="135"/>
        <v>INSERT INTO sy_perm_list (USER_CD, OPT_CD, ACCESS_TYPE, BRANCH_CODE, CLASS_CODE, ENT_BY, ENT_DATE, ENT_BY_IP)</v>
      </c>
      <c r="AL309" s="12" t="str">
        <f t="shared" si="176"/>
        <v>VALUES('08805308','OpdClaim.aspx', 'USER', '01', '08', 'ABDUL', SYSDATE, '10.6.100.63');</v>
      </c>
      <c r="AM309" s="12" t="str">
        <f t="shared" si="137"/>
        <v>INSERT INTO sy_perm_list (USER_CD, OPT_CD, ACCESS_TYPE, BRANCH_CODE, CLASS_CODE, ENT_BY, ENT_DATE, ENT_BY_IP)</v>
      </c>
      <c r="AN309" s="12" t="str">
        <f t="shared" si="177"/>
        <v>VALUES('08805308','RequestDetails.aspx', 'USER', '01', '08', 'ABDUL', SYSDATE, '10.6.100.63');</v>
      </c>
      <c r="AO309" s="12" t="str">
        <f t="shared" si="139"/>
        <v>INSERT INTO sy_perm_list (USER_CD, OPT_CD, ACCESS_TYPE, BRANCH_CODE, CLASS_CODE, ENT_BY, ENT_DATE, ENT_BY_IP)</v>
      </c>
      <c r="AP309" s="12" t="str">
        <f t="shared" si="178"/>
        <v>VALUES('08805308','TodaysRequest.aspx', 'USER', '01', '08', 'ABDUL', SYSDATE, '10.6.100.63');</v>
      </c>
    </row>
    <row r="310" spans="1:42" ht="78" thickBot="1" x14ac:dyDescent="0.3">
      <c r="A310" s="37"/>
      <c r="B310" s="37" t="s">
        <v>1442</v>
      </c>
      <c r="C310" s="37"/>
      <c r="D310" s="37"/>
      <c r="E310" s="37"/>
      <c r="F310" s="37"/>
      <c r="G310" s="37"/>
      <c r="H310" s="37"/>
      <c r="I310" s="37"/>
      <c r="J310" s="54" t="s">
        <v>1443</v>
      </c>
      <c r="K310" s="54" t="s">
        <v>1444</v>
      </c>
      <c r="L310" s="54" t="s">
        <v>1445</v>
      </c>
      <c r="M310" s="55" t="s">
        <v>1446</v>
      </c>
      <c r="N310" s="37"/>
      <c r="O310" s="37"/>
      <c r="P310" s="37"/>
      <c r="Q310" s="37"/>
      <c r="R310" s="37"/>
      <c r="S31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0" s="12" t="str">
        <f t="shared" ref="T310:T315" si="179">"VALUES('"&amp;B310&amp;"','"&amp;K310&amp;"','Salaam@123','Y','N',sysdate,'016', 'C', 'Client', '"&amp;L310&amp;"','01','B', '08', 'ABDUL', sysdate, '10.6.100.63', '"&amp;B310&amp;"');"</f>
        <v>VALUES('08805519','BILLS INC.','Salaam@123','Y','N',sysdate,'016', 'C', 'Client', 'Hamza Khan','01','B', '08', 'ABDUL', sysdate, '10.6.100.63', '08805519');</v>
      </c>
      <c r="U310" s="12" t="str">
        <f t="shared" si="119"/>
        <v>INSERT INTO sy_user_branches (USER_CD, BRANCH_CODE, CLASS_CODE, ENT_BY, ENT_DATE, ENT_BY_IP)</v>
      </c>
      <c r="V310" s="12" t="str">
        <f t="shared" ref="V310:V315" si="180">"values('"&amp;B310&amp;"','01', '08', 'ABDUL', sysdate, '10.6.100.63');"</f>
        <v>values('08805519','01', '08', 'ABDUL', sysdate, '10.6.100.63');</v>
      </c>
      <c r="W310" s="12" t="str">
        <f t="shared" si="121"/>
        <v>INSERT INTO sy_perm_list (USER_CD, OPT_CD, ACCESS_TYPE, BRANCH_CODE, CLASS_CODE, ENT_BY, ENT_DATE, ENT_BY_IP)</v>
      </c>
      <c r="X310" s="12" t="str">
        <f t="shared" ref="X310:X315" si="181">"VALUES('"&amp;B310&amp;"','ClaimComments.aspx', 'USER', '01', '08', 'ABDUL', SYSDATE, '10.6.100.63');"</f>
        <v>VALUES('08805519','ClaimComments.aspx', 'USER', '01', '08', 'ABDUL', SYSDATE, '10.6.100.63');</v>
      </c>
      <c r="Y310" s="12" t="str">
        <f t="shared" si="123"/>
        <v>INSERT INTO sy_perm_list (USER_CD, OPT_CD, ACCESS_TYPE, BRANCH_CODE, CLASS_CODE, ENT_BY, ENT_DATE, ENT_BY_IP)</v>
      </c>
      <c r="Z310" s="12" t="str">
        <f t="shared" ref="Z310:Z315" si="182">"VALUES('"&amp;B310&amp;"','ClaimDocs.aspx', 'USER', '01', '08', 'ABDUL', SYSDATE, '10.6.100.63');"</f>
        <v>VALUES('08805519','ClaimDocs.aspx', 'USER', '01', '08', 'ABDUL', SYSDATE, '10.6.100.63');</v>
      </c>
      <c r="AA310" s="12" t="str">
        <f t="shared" si="125"/>
        <v>INSERT INTO sy_perm_list (USER_CD, OPT_CD, ACCESS_TYPE, BRANCH_CODE, CLASS_CODE, ENT_BY, ENT_DATE, ENT_BY_IP)</v>
      </c>
      <c r="AB310" s="12" t="str">
        <f t="shared" ref="AB310:AB315" si="183">"VALUES('"&amp;B310&amp;"','Client.aspx', 'USER', '01', '08', 'ABDUL', SYSDATE, '10.6.100.63');"</f>
        <v>VALUES('08805519','Client.aspx', 'USER', '01', '08', 'ABDUL', SYSDATE, '10.6.100.63');</v>
      </c>
      <c r="AC310" s="12" t="str">
        <f t="shared" si="127"/>
        <v>INSERT INTO sy_perm_list (USER_CD, OPT_CD, ACCESS_TYPE, BRANCH_CODE, CLASS_CODE, ENT_BY, ENT_DATE, ENT_BY_IP)</v>
      </c>
      <c r="AD310" s="12" t="str">
        <f t="shared" ref="AD310:AD315" si="184">"VALUES('"&amp;B310&amp;"','ClientReports.aspx', 'USER', '01', '08', 'ABDUL', SYSDATE, '10.6.100.63');"</f>
        <v>VALUES('08805519','ClientReports.aspx', 'USER', '01', '08', 'ABDUL', SYSDATE, '10.6.100.63');</v>
      </c>
      <c r="AE310" s="12" t="str">
        <f t="shared" si="129"/>
        <v>INSERT INTO sy_perm_list (USER_CD, OPT_CD, ACCESS_TYPE, BRANCH_CODE, CLASS_CODE, ENT_BY, ENT_DATE, ENT_BY_IP)</v>
      </c>
      <c r="AF310" s="12" t="str">
        <f t="shared" ref="AF310:AF315" si="185">"VALUES('"&amp;B310&amp;"','ClientRequests.aspx', 'USER', '01', '08', 'ABDUL', SYSDATE, '10.6.100.63');"</f>
        <v>VALUES('08805519','ClientRequests.aspx', 'USER', '01', '08', 'ABDUL', SYSDATE, '10.6.100.63');</v>
      </c>
      <c r="AG310" s="12" t="str">
        <f t="shared" si="131"/>
        <v>INSERT INTO sy_perm_list (USER_CD, OPT_CD, ACCESS_TYPE, BRANCH_CODE, CLASS_CODE, ENT_BY, ENT_DATE, ENT_BY_IP)</v>
      </c>
      <c r="AH310" s="12" t="str">
        <f t="shared" ref="AH310:AH315" si="186">"VALUES('"&amp;B310&amp;"','HealthLife.aspx', 'USER', '01', '08', 'ABDUL', SYSDATE, '10.6.100.63');"</f>
        <v>VALUES('08805519','HealthLife.aspx', 'USER', '01', '08', 'ABDUL', SYSDATE, '10.6.100.63');</v>
      </c>
      <c r="AI310" s="12" t="str">
        <f t="shared" si="133"/>
        <v>INSERT INTO sy_perm_list (USER_CD, OPT_CD, ACCESS_TYPE, BRANCH_CODE, CLASS_CODE, ENT_BY, ENT_DATE, ENT_BY_IP)</v>
      </c>
      <c r="AJ310" s="12" t="str">
        <f t="shared" ref="AJ310:AJ315" si="187">"VALUES('"&amp;B310&amp;"','IpdClaim.aspx', 'USER', '01', '08', 'ABDUL', SYSDATE, '10.6.100.63');"</f>
        <v>VALUES('08805519','IpdClaim.aspx', 'USER', '01', '08', 'ABDUL', SYSDATE, '10.6.100.63');</v>
      </c>
      <c r="AK310" s="12" t="str">
        <f t="shared" si="135"/>
        <v>INSERT INTO sy_perm_list (USER_CD, OPT_CD, ACCESS_TYPE, BRANCH_CODE, CLASS_CODE, ENT_BY, ENT_DATE, ENT_BY_IP)</v>
      </c>
      <c r="AL310" s="12" t="str">
        <f t="shared" ref="AL310:AL315" si="188">"VALUES('"&amp;B310&amp;"','OpdClaim.aspx', 'USER', '01', '08', 'ABDUL', SYSDATE, '10.6.100.63');"</f>
        <v>VALUES('08805519','OpdClaim.aspx', 'USER', '01', '08', 'ABDUL', SYSDATE, '10.6.100.63');</v>
      </c>
      <c r="AM310" s="12" t="str">
        <f t="shared" si="137"/>
        <v>INSERT INTO sy_perm_list (USER_CD, OPT_CD, ACCESS_TYPE, BRANCH_CODE, CLASS_CODE, ENT_BY, ENT_DATE, ENT_BY_IP)</v>
      </c>
      <c r="AN310" s="12" t="str">
        <f t="shared" ref="AN310:AN315" si="189">"VALUES('"&amp;B310&amp;"','RequestDetails.aspx', 'USER', '01', '08', 'ABDUL', SYSDATE, '10.6.100.63');"</f>
        <v>VALUES('08805519','RequestDetails.aspx', 'USER', '01', '08', 'ABDUL', SYSDATE, '10.6.100.63');</v>
      </c>
      <c r="AO310" s="12" t="str">
        <f t="shared" si="139"/>
        <v>INSERT INTO sy_perm_list (USER_CD, OPT_CD, ACCESS_TYPE, BRANCH_CODE, CLASS_CODE, ENT_BY, ENT_DATE, ENT_BY_IP)</v>
      </c>
      <c r="AP310" s="12" t="str">
        <f t="shared" ref="AP310:AP315" si="190">"VALUES('"&amp;B310&amp;"','TodaysRequest.aspx', 'USER', '01', '08', 'ABDUL', SYSDATE, '10.6.100.63');"</f>
        <v>VALUES('08805519','TodaysRequest.aspx', 'USER', '01', '08', 'ABDUL', SYSDATE, '10.6.100.63');</v>
      </c>
    </row>
    <row r="311" spans="1:42" ht="78" thickBot="1" x14ac:dyDescent="0.3">
      <c r="A311" s="37"/>
      <c r="B311" s="37" t="s">
        <v>1447</v>
      </c>
      <c r="C311" s="37"/>
      <c r="D311" s="37"/>
      <c r="E311" s="37"/>
      <c r="F311" s="37"/>
      <c r="G311" s="37"/>
      <c r="H311" s="37"/>
      <c r="I311" s="37"/>
      <c r="J311" s="46" t="s">
        <v>1448</v>
      </c>
      <c r="K311" s="59" t="s">
        <v>1449</v>
      </c>
      <c r="L311" s="36" t="s">
        <v>1450</v>
      </c>
      <c r="M311" s="11" t="s">
        <v>1451</v>
      </c>
      <c r="N311" s="37"/>
      <c r="O311" s="37"/>
      <c r="P311" s="37"/>
      <c r="Q311" s="37"/>
      <c r="R311" s="37"/>
      <c r="S31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1" s="12" t="str">
        <f t="shared" si="179"/>
        <v>VALUES('08005004','The Professional Travels &amp; Tours (Pvt) Ltd','Salaam@123','Y','N',sysdate,'016', 'C', 'Client', 'Syed Inayat Gohar','01','B', '08', 'ABDUL', sysdate, '10.6.100.63', '08005004');</v>
      </c>
      <c r="U311" s="12" t="str">
        <f t="shared" si="119"/>
        <v>INSERT INTO sy_user_branches (USER_CD, BRANCH_CODE, CLASS_CODE, ENT_BY, ENT_DATE, ENT_BY_IP)</v>
      </c>
      <c r="V311" s="12" t="str">
        <f t="shared" si="180"/>
        <v>values('08005004','01', '08', 'ABDUL', sysdate, '10.6.100.63');</v>
      </c>
      <c r="W311" s="12" t="str">
        <f t="shared" si="121"/>
        <v>INSERT INTO sy_perm_list (USER_CD, OPT_CD, ACCESS_TYPE, BRANCH_CODE, CLASS_CODE, ENT_BY, ENT_DATE, ENT_BY_IP)</v>
      </c>
      <c r="X311" s="12" t="str">
        <f t="shared" si="181"/>
        <v>VALUES('08005004','ClaimComments.aspx', 'USER', '01', '08', 'ABDUL', SYSDATE, '10.6.100.63');</v>
      </c>
      <c r="Y311" s="12" t="str">
        <f t="shared" si="123"/>
        <v>INSERT INTO sy_perm_list (USER_CD, OPT_CD, ACCESS_TYPE, BRANCH_CODE, CLASS_CODE, ENT_BY, ENT_DATE, ENT_BY_IP)</v>
      </c>
      <c r="Z311" s="12" t="str">
        <f t="shared" si="182"/>
        <v>VALUES('08005004','ClaimDocs.aspx', 'USER', '01', '08', 'ABDUL', SYSDATE, '10.6.100.63');</v>
      </c>
      <c r="AA311" s="12" t="str">
        <f t="shared" si="125"/>
        <v>INSERT INTO sy_perm_list (USER_CD, OPT_CD, ACCESS_TYPE, BRANCH_CODE, CLASS_CODE, ENT_BY, ENT_DATE, ENT_BY_IP)</v>
      </c>
      <c r="AB311" s="12" t="str">
        <f t="shared" si="183"/>
        <v>VALUES('08005004','Client.aspx', 'USER', '01', '08', 'ABDUL', SYSDATE, '10.6.100.63');</v>
      </c>
      <c r="AC311" s="12" t="str">
        <f t="shared" si="127"/>
        <v>INSERT INTO sy_perm_list (USER_CD, OPT_CD, ACCESS_TYPE, BRANCH_CODE, CLASS_CODE, ENT_BY, ENT_DATE, ENT_BY_IP)</v>
      </c>
      <c r="AD311" s="12" t="str">
        <f t="shared" si="184"/>
        <v>VALUES('08005004','ClientReports.aspx', 'USER', '01', '08', 'ABDUL', SYSDATE, '10.6.100.63');</v>
      </c>
      <c r="AE311" s="12" t="str">
        <f t="shared" si="129"/>
        <v>INSERT INTO sy_perm_list (USER_CD, OPT_CD, ACCESS_TYPE, BRANCH_CODE, CLASS_CODE, ENT_BY, ENT_DATE, ENT_BY_IP)</v>
      </c>
      <c r="AF311" s="12" t="str">
        <f t="shared" si="185"/>
        <v>VALUES('08005004','ClientRequests.aspx', 'USER', '01', '08', 'ABDUL', SYSDATE, '10.6.100.63');</v>
      </c>
      <c r="AG311" s="12" t="str">
        <f t="shared" si="131"/>
        <v>INSERT INTO sy_perm_list (USER_CD, OPT_CD, ACCESS_TYPE, BRANCH_CODE, CLASS_CODE, ENT_BY, ENT_DATE, ENT_BY_IP)</v>
      </c>
      <c r="AH311" s="12" t="str">
        <f t="shared" si="186"/>
        <v>VALUES('08005004','HealthLife.aspx', 'USER', '01', '08', 'ABDUL', SYSDATE, '10.6.100.63');</v>
      </c>
      <c r="AI311" s="12" t="str">
        <f t="shared" si="133"/>
        <v>INSERT INTO sy_perm_list (USER_CD, OPT_CD, ACCESS_TYPE, BRANCH_CODE, CLASS_CODE, ENT_BY, ENT_DATE, ENT_BY_IP)</v>
      </c>
      <c r="AJ311" s="12" t="str">
        <f t="shared" si="187"/>
        <v>VALUES('08005004','IpdClaim.aspx', 'USER', '01', '08', 'ABDUL', SYSDATE, '10.6.100.63');</v>
      </c>
      <c r="AK311" s="12" t="str">
        <f t="shared" si="135"/>
        <v>INSERT INTO sy_perm_list (USER_CD, OPT_CD, ACCESS_TYPE, BRANCH_CODE, CLASS_CODE, ENT_BY, ENT_DATE, ENT_BY_IP)</v>
      </c>
      <c r="AL311" s="12" t="str">
        <f t="shared" si="188"/>
        <v>VALUES('08005004','OpdClaim.aspx', 'USER', '01', '08', 'ABDUL', SYSDATE, '10.6.100.63');</v>
      </c>
      <c r="AM311" s="12" t="str">
        <f t="shared" si="137"/>
        <v>INSERT INTO sy_perm_list (USER_CD, OPT_CD, ACCESS_TYPE, BRANCH_CODE, CLASS_CODE, ENT_BY, ENT_DATE, ENT_BY_IP)</v>
      </c>
      <c r="AN311" s="12" t="str">
        <f t="shared" si="189"/>
        <v>VALUES('08005004','RequestDetails.aspx', 'USER', '01', '08', 'ABDUL', SYSDATE, '10.6.100.63');</v>
      </c>
      <c r="AO311" s="12" t="str">
        <f t="shared" si="139"/>
        <v>INSERT INTO sy_perm_list (USER_CD, OPT_CD, ACCESS_TYPE, BRANCH_CODE, CLASS_CODE, ENT_BY, ENT_DATE, ENT_BY_IP)</v>
      </c>
      <c r="AP311" s="12" t="str">
        <f t="shared" si="190"/>
        <v>VALUES('08005004','TodaysRequest.aspx', 'USER', '01', '08', 'ABDUL', SYSDATE, '10.6.100.63');</v>
      </c>
    </row>
    <row r="312" spans="1:42" ht="78" thickBot="1" x14ac:dyDescent="0.3">
      <c r="A312" s="37"/>
      <c r="B312" s="37" t="s">
        <v>1456</v>
      </c>
      <c r="C312" s="37"/>
      <c r="D312" s="37"/>
      <c r="E312" s="37"/>
      <c r="F312" s="37"/>
      <c r="G312" s="37"/>
      <c r="H312" s="37"/>
      <c r="I312" s="37"/>
      <c r="J312" s="54" t="s">
        <v>1452</v>
      </c>
      <c r="K312" s="54" t="s">
        <v>1453</v>
      </c>
      <c r="L312" s="54" t="s">
        <v>1454</v>
      </c>
      <c r="M312" s="55" t="s">
        <v>1455</v>
      </c>
      <c r="N312" s="37"/>
      <c r="O312" s="37"/>
      <c r="P312" s="37"/>
      <c r="Q312" s="37"/>
      <c r="R312" s="37"/>
      <c r="S31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2" s="12" t="str">
        <f t="shared" si="179"/>
        <v>VALUES('088009141','Talent Edge Consulting (Pvt) Ltd - DHL Group','Salaam@123','Y','N',sysdate,'016', 'C', 'Client', 'Waleed Hussain','01','B', '08', 'ABDUL', sysdate, '10.6.100.63', '088009141');</v>
      </c>
      <c r="U312" s="12" t="str">
        <f t="shared" si="119"/>
        <v>INSERT INTO sy_user_branches (USER_CD, BRANCH_CODE, CLASS_CODE, ENT_BY, ENT_DATE, ENT_BY_IP)</v>
      </c>
      <c r="V312" s="12" t="str">
        <f t="shared" si="180"/>
        <v>values('088009141','01', '08', 'ABDUL', sysdate, '10.6.100.63');</v>
      </c>
      <c r="W312" s="12" t="str">
        <f t="shared" si="121"/>
        <v>INSERT INTO sy_perm_list (USER_CD, OPT_CD, ACCESS_TYPE, BRANCH_CODE, CLASS_CODE, ENT_BY, ENT_DATE, ENT_BY_IP)</v>
      </c>
      <c r="X312" s="12" t="str">
        <f t="shared" si="181"/>
        <v>VALUES('088009141','ClaimComments.aspx', 'USER', '01', '08', 'ABDUL', SYSDATE, '10.6.100.63');</v>
      </c>
      <c r="Y312" s="12" t="str">
        <f t="shared" si="123"/>
        <v>INSERT INTO sy_perm_list (USER_CD, OPT_CD, ACCESS_TYPE, BRANCH_CODE, CLASS_CODE, ENT_BY, ENT_DATE, ENT_BY_IP)</v>
      </c>
      <c r="Z312" s="12" t="str">
        <f t="shared" si="182"/>
        <v>VALUES('088009141','ClaimDocs.aspx', 'USER', '01', '08', 'ABDUL', SYSDATE, '10.6.100.63');</v>
      </c>
      <c r="AA312" s="12" t="str">
        <f t="shared" si="125"/>
        <v>INSERT INTO sy_perm_list (USER_CD, OPT_CD, ACCESS_TYPE, BRANCH_CODE, CLASS_CODE, ENT_BY, ENT_DATE, ENT_BY_IP)</v>
      </c>
      <c r="AB312" s="12" t="str">
        <f t="shared" si="183"/>
        <v>VALUES('088009141','Client.aspx', 'USER', '01', '08', 'ABDUL', SYSDATE, '10.6.100.63');</v>
      </c>
      <c r="AC312" s="12" t="str">
        <f t="shared" si="127"/>
        <v>INSERT INTO sy_perm_list (USER_CD, OPT_CD, ACCESS_TYPE, BRANCH_CODE, CLASS_CODE, ENT_BY, ENT_DATE, ENT_BY_IP)</v>
      </c>
      <c r="AD312" s="12" t="str">
        <f t="shared" si="184"/>
        <v>VALUES('088009141','ClientReports.aspx', 'USER', '01', '08', 'ABDUL', SYSDATE, '10.6.100.63');</v>
      </c>
      <c r="AE312" s="12" t="str">
        <f t="shared" si="129"/>
        <v>INSERT INTO sy_perm_list (USER_CD, OPT_CD, ACCESS_TYPE, BRANCH_CODE, CLASS_CODE, ENT_BY, ENT_DATE, ENT_BY_IP)</v>
      </c>
      <c r="AF312" s="12" t="str">
        <f t="shared" si="185"/>
        <v>VALUES('088009141','ClientRequests.aspx', 'USER', '01', '08', 'ABDUL', SYSDATE, '10.6.100.63');</v>
      </c>
      <c r="AG312" s="12" t="str">
        <f t="shared" si="131"/>
        <v>INSERT INTO sy_perm_list (USER_CD, OPT_CD, ACCESS_TYPE, BRANCH_CODE, CLASS_CODE, ENT_BY, ENT_DATE, ENT_BY_IP)</v>
      </c>
      <c r="AH312" s="12" t="str">
        <f t="shared" si="186"/>
        <v>VALUES('088009141','HealthLife.aspx', 'USER', '01', '08', 'ABDUL', SYSDATE, '10.6.100.63');</v>
      </c>
      <c r="AI312" s="12" t="str">
        <f t="shared" si="133"/>
        <v>INSERT INTO sy_perm_list (USER_CD, OPT_CD, ACCESS_TYPE, BRANCH_CODE, CLASS_CODE, ENT_BY, ENT_DATE, ENT_BY_IP)</v>
      </c>
      <c r="AJ312" s="12" t="str">
        <f t="shared" si="187"/>
        <v>VALUES('088009141','IpdClaim.aspx', 'USER', '01', '08', 'ABDUL', SYSDATE, '10.6.100.63');</v>
      </c>
      <c r="AK312" s="12" t="str">
        <f t="shared" si="135"/>
        <v>INSERT INTO sy_perm_list (USER_CD, OPT_CD, ACCESS_TYPE, BRANCH_CODE, CLASS_CODE, ENT_BY, ENT_DATE, ENT_BY_IP)</v>
      </c>
      <c r="AL312" s="12" t="str">
        <f t="shared" si="188"/>
        <v>VALUES('088009141','OpdClaim.aspx', 'USER', '01', '08', 'ABDUL', SYSDATE, '10.6.100.63');</v>
      </c>
      <c r="AM312" s="12" t="str">
        <f t="shared" si="137"/>
        <v>INSERT INTO sy_perm_list (USER_CD, OPT_CD, ACCESS_TYPE, BRANCH_CODE, CLASS_CODE, ENT_BY, ENT_DATE, ENT_BY_IP)</v>
      </c>
      <c r="AN312" s="12" t="str">
        <f t="shared" si="189"/>
        <v>VALUES('088009141','RequestDetails.aspx', 'USER', '01', '08', 'ABDUL', SYSDATE, '10.6.100.63');</v>
      </c>
      <c r="AO312" s="12" t="str">
        <f t="shared" si="139"/>
        <v>INSERT INTO sy_perm_list (USER_CD, OPT_CD, ACCESS_TYPE, BRANCH_CODE, CLASS_CODE, ENT_BY, ENT_DATE, ENT_BY_IP)</v>
      </c>
      <c r="AP312" s="12" t="str">
        <f t="shared" si="190"/>
        <v>VALUES('088009141','TodaysRequest.aspx', 'USER', '01', '08', 'ABDUL', SYSDATE, '10.6.100.63');</v>
      </c>
    </row>
    <row r="313" spans="1:42" ht="78" thickBot="1" x14ac:dyDescent="0.3">
      <c r="A313" s="37"/>
      <c r="B313" s="37" t="s">
        <v>1457</v>
      </c>
      <c r="C313" s="37"/>
      <c r="D313" s="37"/>
      <c r="E313" s="37"/>
      <c r="F313" s="37"/>
      <c r="G313" s="37"/>
      <c r="H313" s="37"/>
      <c r="I313" s="37"/>
      <c r="J313" s="54" t="s">
        <v>1458</v>
      </c>
      <c r="K313" s="54" t="s">
        <v>1459</v>
      </c>
      <c r="L313" s="54" t="s">
        <v>1460</v>
      </c>
      <c r="M313" s="55" t="s">
        <v>1461</v>
      </c>
      <c r="N313" s="37"/>
      <c r="O313" s="37"/>
      <c r="P313" s="37"/>
      <c r="Q313" s="37"/>
      <c r="R313" s="37"/>
      <c r="S31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3" s="12" t="str">
        <f t="shared" si="179"/>
        <v>VALUES('08805701','Markhor Shipping (Private) Limited','Salaam@123','Y','N',sysdate,'016', 'C', 'Client', 'Syed Salah Uddin','01','B', '08', 'ABDUL', sysdate, '10.6.100.63', '08805701');</v>
      </c>
      <c r="U313" s="12" t="str">
        <f t="shared" si="119"/>
        <v>INSERT INTO sy_user_branches (USER_CD, BRANCH_CODE, CLASS_CODE, ENT_BY, ENT_DATE, ENT_BY_IP)</v>
      </c>
      <c r="V313" s="12" t="str">
        <f t="shared" si="180"/>
        <v>values('08805701','01', '08', 'ABDUL', sysdate, '10.6.100.63');</v>
      </c>
      <c r="W313" s="12" t="str">
        <f t="shared" si="121"/>
        <v>INSERT INTO sy_perm_list (USER_CD, OPT_CD, ACCESS_TYPE, BRANCH_CODE, CLASS_CODE, ENT_BY, ENT_DATE, ENT_BY_IP)</v>
      </c>
      <c r="X313" s="12" t="str">
        <f t="shared" si="181"/>
        <v>VALUES('08805701','ClaimComments.aspx', 'USER', '01', '08', 'ABDUL', SYSDATE, '10.6.100.63');</v>
      </c>
      <c r="Y313" s="12" t="str">
        <f t="shared" si="123"/>
        <v>INSERT INTO sy_perm_list (USER_CD, OPT_CD, ACCESS_TYPE, BRANCH_CODE, CLASS_CODE, ENT_BY, ENT_DATE, ENT_BY_IP)</v>
      </c>
      <c r="Z313" s="12" t="str">
        <f t="shared" si="182"/>
        <v>VALUES('08805701','ClaimDocs.aspx', 'USER', '01', '08', 'ABDUL', SYSDATE, '10.6.100.63');</v>
      </c>
      <c r="AA313" s="12" t="str">
        <f t="shared" si="125"/>
        <v>INSERT INTO sy_perm_list (USER_CD, OPT_CD, ACCESS_TYPE, BRANCH_CODE, CLASS_CODE, ENT_BY, ENT_DATE, ENT_BY_IP)</v>
      </c>
      <c r="AB313" s="12" t="str">
        <f t="shared" si="183"/>
        <v>VALUES('08805701','Client.aspx', 'USER', '01', '08', 'ABDUL', SYSDATE, '10.6.100.63');</v>
      </c>
      <c r="AC313" s="12" t="str">
        <f t="shared" si="127"/>
        <v>INSERT INTO sy_perm_list (USER_CD, OPT_CD, ACCESS_TYPE, BRANCH_CODE, CLASS_CODE, ENT_BY, ENT_DATE, ENT_BY_IP)</v>
      </c>
      <c r="AD313" s="12" t="str">
        <f t="shared" si="184"/>
        <v>VALUES('08805701','ClientReports.aspx', 'USER', '01', '08', 'ABDUL', SYSDATE, '10.6.100.63');</v>
      </c>
      <c r="AE313" s="12" t="str">
        <f t="shared" si="129"/>
        <v>INSERT INTO sy_perm_list (USER_CD, OPT_CD, ACCESS_TYPE, BRANCH_CODE, CLASS_CODE, ENT_BY, ENT_DATE, ENT_BY_IP)</v>
      </c>
      <c r="AF313" s="12" t="str">
        <f t="shared" si="185"/>
        <v>VALUES('08805701','ClientRequests.aspx', 'USER', '01', '08', 'ABDUL', SYSDATE, '10.6.100.63');</v>
      </c>
      <c r="AG313" s="12" t="str">
        <f t="shared" si="131"/>
        <v>INSERT INTO sy_perm_list (USER_CD, OPT_CD, ACCESS_TYPE, BRANCH_CODE, CLASS_CODE, ENT_BY, ENT_DATE, ENT_BY_IP)</v>
      </c>
      <c r="AH313" s="12" t="str">
        <f t="shared" si="186"/>
        <v>VALUES('08805701','HealthLife.aspx', 'USER', '01', '08', 'ABDUL', SYSDATE, '10.6.100.63');</v>
      </c>
      <c r="AI313" s="12" t="str">
        <f t="shared" si="133"/>
        <v>INSERT INTO sy_perm_list (USER_CD, OPT_CD, ACCESS_TYPE, BRANCH_CODE, CLASS_CODE, ENT_BY, ENT_DATE, ENT_BY_IP)</v>
      </c>
      <c r="AJ313" s="12" t="str">
        <f t="shared" si="187"/>
        <v>VALUES('08805701','IpdClaim.aspx', 'USER', '01', '08', 'ABDUL', SYSDATE, '10.6.100.63');</v>
      </c>
      <c r="AK313" s="12" t="str">
        <f t="shared" si="135"/>
        <v>INSERT INTO sy_perm_list (USER_CD, OPT_CD, ACCESS_TYPE, BRANCH_CODE, CLASS_CODE, ENT_BY, ENT_DATE, ENT_BY_IP)</v>
      </c>
      <c r="AL313" s="12" t="str">
        <f t="shared" si="188"/>
        <v>VALUES('08805701','OpdClaim.aspx', 'USER', '01', '08', 'ABDUL', SYSDATE, '10.6.100.63');</v>
      </c>
      <c r="AM313" s="12" t="str">
        <f t="shared" si="137"/>
        <v>INSERT INTO sy_perm_list (USER_CD, OPT_CD, ACCESS_TYPE, BRANCH_CODE, CLASS_CODE, ENT_BY, ENT_DATE, ENT_BY_IP)</v>
      </c>
      <c r="AN313" s="12" t="str">
        <f t="shared" si="189"/>
        <v>VALUES('08805701','RequestDetails.aspx', 'USER', '01', '08', 'ABDUL', SYSDATE, '10.6.100.63');</v>
      </c>
      <c r="AO313" s="12" t="str">
        <f t="shared" si="139"/>
        <v>INSERT INTO sy_perm_list (USER_CD, OPT_CD, ACCESS_TYPE, BRANCH_CODE, CLASS_CODE, ENT_BY, ENT_DATE, ENT_BY_IP)</v>
      </c>
      <c r="AP313" s="12" t="str">
        <f t="shared" si="190"/>
        <v>VALUES('08805701','TodaysRequest.aspx', 'USER', '01', '08', 'ABDUL', SYSDATE, '10.6.100.63');</v>
      </c>
    </row>
    <row r="314" spans="1:42" ht="78" thickBot="1" x14ac:dyDescent="0.3">
      <c r="A314" s="37"/>
      <c r="B314" s="37" t="s">
        <v>1462</v>
      </c>
      <c r="C314" s="37"/>
      <c r="D314" s="37"/>
      <c r="E314" s="37"/>
      <c r="F314" s="37"/>
      <c r="G314" s="37"/>
      <c r="H314" s="37"/>
      <c r="I314" s="37"/>
      <c r="J314" s="63" t="s">
        <v>1463</v>
      </c>
      <c r="K314" s="63" t="s">
        <v>1464</v>
      </c>
      <c r="L314" s="63" t="s">
        <v>1465</v>
      </c>
      <c r="M314" s="55" t="s">
        <v>1466</v>
      </c>
      <c r="N314" s="37"/>
      <c r="O314" s="37"/>
      <c r="P314" s="37"/>
      <c r="Q314" s="37"/>
      <c r="R314" s="37"/>
      <c r="S31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4" s="12" t="str">
        <f t="shared" si="179"/>
        <v>VALUES('08805861','Bays International (Private) Limited','Salaam@123','Y','N',sysdate,'016', 'C', 'Client', 'Ali Yasar Zaidi','01','B', '08', 'ABDUL', sysdate, '10.6.100.63', '08805861');</v>
      </c>
      <c r="U314" s="12" t="str">
        <f t="shared" si="119"/>
        <v>INSERT INTO sy_user_branches (USER_CD, BRANCH_CODE, CLASS_CODE, ENT_BY, ENT_DATE, ENT_BY_IP)</v>
      </c>
      <c r="V314" s="12" t="str">
        <f t="shared" si="180"/>
        <v>values('08805861','01', '08', 'ABDUL', sysdate, '10.6.100.63');</v>
      </c>
      <c r="W314" s="12" t="str">
        <f t="shared" si="121"/>
        <v>INSERT INTO sy_perm_list (USER_CD, OPT_CD, ACCESS_TYPE, BRANCH_CODE, CLASS_CODE, ENT_BY, ENT_DATE, ENT_BY_IP)</v>
      </c>
      <c r="X314" s="12" t="str">
        <f t="shared" si="181"/>
        <v>VALUES('08805861','ClaimComments.aspx', 'USER', '01', '08', 'ABDUL', SYSDATE, '10.6.100.63');</v>
      </c>
      <c r="Y314" s="12" t="str">
        <f t="shared" si="123"/>
        <v>INSERT INTO sy_perm_list (USER_CD, OPT_CD, ACCESS_TYPE, BRANCH_CODE, CLASS_CODE, ENT_BY, ENT_DATE, ENT_BY_IP)</v>
      </c>
      <c r="Z314" s="12" t="str">
        <f t="shared" si="182"/>
        <v>VALUES('08805861','ClaimDocs.aspx', 'USER', '01', '08', 'ABDUL', SYSDATE, '10.6.100.63');</v>
      </c>
      <c r="AA314" s="12" t="str">
        <f t="shared" si="125"/>
        <v>INSERT INTO sy_perm_list (USER_CD, OPT_CD, ACCESS_TYPE, BRANCH_CODE, CLASS_CODE, ENT_BY, ENT_DATE, ENT_BY_IP)</v>
      </c>
      <c r="AB314" s="12" t="str">
        <f t="shared" si="183"/>
        <v>VALUES('08805861','Client.aspx', 'USER', '01', '08', 'ABDUL', SYSDATE, '10.6.100.63');</v>
      </c>
      <c r="AC314" s="12" t="str">
        <f t="shared" si="127"/>
        <v>INSERT INTO sy_perm_list (USER_CD, OPT_CD, ACCESS_TYPE, BRANCH_CODE, CLASS_CODE, ENT_BY, ENT_DATE, ENT_BY_IP)</v>
      </c>
      <c r="AD314" s="12" t="str">
        <f t="shared" si="184"/>
        <v>VALUES('08805861','ClientReports.aspx', 'USER', '01', '08', 'ABDUL', SYSDATE, '10.6.100.63');</v>
      </c>
      <c r="AE314" s="12" t="str">
        <f t="shared" si="129"/>
        <v>INSERT INTO sy_perm_list (USER_CD, OPT_CD, ACCESS_TYPE, BRANCH_CODE, CLASS_CODE, ENT_BY, ENT_DATE, ENT_BY_IP)</v>
      </c>
      <c r="AF314" s="12" t="str">
        <f t="shared" si="185"/>
        <v>VALUES('08805861','ClientRequests.aspx', 'USER', '01', '08', 'ABDUL', SYSDATE, '10.6.100.63');</v>
      </c>
      <c r="AG314" s="12" t="str">
        <f t="shared" si="131"/>
        <v>INSERT INTO sy_perm_list (USER_CD, OPT_CD, ACCESS_TYPE, BRANCH_CODE, CLASS_CODE, ENT_BY, ENT_DATE, ENT_BY_IP)</v>
      </c>
      <c r="AH314" s="12" t="str">
        <f t="shared" si="186"/>
        <v>VALUES('08805861','HealthLife.aspx', 'USER', '01', '08', 'ABDUL', SYSDATE, '10.6.100.63');</v>
      </c>
      <c r="AI314" s="12" t="str">
        <f t="shared" si="133"/>
        <v>INSERT INTO sy_perm_list (USER_CD, OPT_CD, ACCESS_TYPE, BRANCH_CODE, CLASS_CODE, ENT_BY, ENT_DATE, ENT_BY_IP)</v>
      </c>
      <c r="AJ314" s="12" t="str">
        <f t="shared" si="187"/>
        <v>VALUES('08805861','IpdClaim.aspx', 'USER', '01', '08', 'ABDUL', SYSDATE, '10.6.100.63');</v>
      </c>
      <c r="AK314" s="12" t="str">
        <f t="shared" si="135"/>
        <v>INSERT INTO sy_perm_list (USER_CD, OPT_CD, ACCESS_TYPE, BRANCH_CODE, CLASS_CODE, ENT_BY, ENT_DATE, ENT_BY_IP)</v>
      </c>
      <c r="AL314" s="12" t="str">
        <f t="shared" si="188"/>
        <v>VALUES('08805861','OpdClaim.aspx', 'USER', '01', '08', 'ABDUL', SYSDATE, '10.6.100.63');</v>
      </c>
      <c r="AM314" s="12" t="str">
        <f t="shared" si="137"/>
        <v>INSERT INTO sy_perm_list (USER_CD, OPT_CD, ACCESS_TYPE, BRANCH_CODE, CLASS_CODE, ENT_BY, ENT_DATE, ENT_BY_IP)</v>
      </c>
      <c r="AN314" s="12" t="str">
        <f t="shared" si="189"/>
        <v>VALUES('08805861','RequestDetails.aspx', 'USER', '01', '08', 'ABDUL', SYSDATE, '10.6.100.63');</v>
      </c>
      <c r="AO314" s="12" t="str">
        <f t="shared" si="139"/>
        <v>INSERT INTO sy_perm_list (USER_CD, OPT_CD, ACCESS_TYPE, BRANCH_CODE, CLASS_CODE, ENT_BY, ENT_DATE, ENT_BY_IP)</v>
      </c>
      <c r="AP314" s="12" t="str">
        <f t="shared" si="190"/>
        <v>VALUES('08805861','TodaysRequest.aspx', 'USER', '01', '08', 'ABDUL', SYSDATE, '10.6.100.63');</v>
      </c>
    </row>
    <row r="315" spans="1:42" ht="78" thickBot="1" x14ac:dyDescent="0.3">
      <c r="A315" s="37"/>
      <c r="B315" s="37" t="s">
        <v>1467</v>
      </c>
      <c r="C315" s="37"/>
      <c r="D315" s="37"/>
      <c r="E315" s="37"/>
      <c r="F315" s="37"/>
      <c r="G315" s="37"/>
      <c r="H315" s="37"/>
      <c r="I315" s="37"/>
      <c r="J315" s="63" t="s">
        <v>1468</v>
      </c>
      <c r="K315" s="63" t="s">
        <v>1469</v>
      </c>
      <c r="L315" s="63" t="s">
        <v>1470</v>
      </c>
      <c r="M315" s="55" t="s">
        <v>1471</v>
      </c>
      <c r="N315" s="37"/>
      <c r="O315" s="37"/>
      <c r="P315" s="37"/>
      <c r="Q315" s="37"/>
      <c r="R315" s="37"/>
      <c r="S31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5" s="12" t="str">
        <f t="shared" si="179"/>
        <v>VALUES('08805828','KARDIYA','Salaam@123','Y','N',sysdate,'016', 'C', 'Client', 'Beenish Naz','01','B', '08', 'ABDUL', sysdate, '10.6.100.63', '08805828');</v>
      </c>
      <c r="U315" s="12" t="str">
        <f t="shared" si="119"/>
        <v>INSERT INTO sy_user_branches (USER_CD, BRANCH_CODE, CLASS_CODE, ENT_BY, ENT_DATE, ENT_BY_IP)</v>
      </c>
      <c r="V315" s="12" t="str">
        <f t="shared" si="180"/>
        <v>values('08805828','01', '08', 'ABDUL', sysdate, '10.6.100.63');</v>
      </c>
      <c r="W315" s="12" t="str">
        <f t="shared" si="121"/>
        <v>INSERT INTO sy_perm_list (USER_CD, OPT_CD, ACCESS_TYPE, BRANCH_CODE, CLASS_CODE, ENT_BY, ENT_DATE, ENT_BY_IP)</v>
      </c>
      <c r="X315" s="12" t="str">
        <f t="shared" si="181"/>
        <v>VALUES('08805828','ClaimComments.aspx', 'USER', '01', '08', 'ABDUL', SYSDATE, '10.6.100.63');</v>
      </c>
      <c r="Y315" s="12" t="str">
        <f t="shared" si="123"/>
        <v>INSERT INTO sy_perm_list (USER_CD, OPT_CD, ACCESS_TYPE, BRANCH_CODE, CLASS_CODE, ENT_BY, ENT_DATE, ENT_BY_IP)</v>
      </c>
      <c r="Z315" s="12" t="str">
        <f t="shared" si="182"/>
        <v>VALUES('08805828','ClaimDocs.aspx', 'USER', '01', '08', 'ABDUL', SYSDATE, '10.6.100.63');</v>
      </c>
      <c r="AA315" s="12" t="str">
        <f t="shared" si="125"/>
        <v>INSERT INTO sy_perm_list (USER_CD, OPT_CD, ACCESS_TYPE, BRANCH_CODE, CLASS_CODE, ENT_BY, ENT_DATE, ENT_BY_IP)</v>
      </c>
      <c r="AB315" s="12" t="str">
        <f t="shared" si="183"/>
        <v>VALUES('08805828','Client.aspx', 'USER', '01', '08', 'ABDUL', SYSDATE, '10.6.100.63');</v>
      </c>
      <c r="AC315" s="12" t="str">
        <f t="shared" si="127"/>
        <v>INSERT INTO sy_perm_list (USER_CD, OPT_CD, ACCESS_TYPE, BRANCH_CODE, CLASS_CODE, ENT_BY, ENT_DATE, ENT_BY_IP)</v>
      </c>
      <c r="AD315" s="12" t="str">
        <f t="shared" si="184"/>
        <v>VALUES('08805828','ClientReports.aspx', 'USER', '01', '08', 'ABDUL', SYSDATE, '10.6.100.63');</v>
      </c>
      <c r="AE315" s="12" t="str">
        <f t="shared" si="129"/>
        <v>INSERT INTO sy_perm_list (USER_CD, OPT_CD, ACCESS_TYPE, BRANCH_CODE, CLASS_CODE, ENT_BY, ENT_DATE, ENT_BY_IP)</v>
      </c>
      <c r="AF315" s="12" t="str">
        <f t="shared" si="185"/>
        <v>VALUES('08805828','ClientRequests.aspx', 'USER', '01', '08', 'ABDUL', SYSDATE, '10.6.100.63');</v>
      </c>
      <c r="AG315" s="12" t="str">
        <f t="shared" si="131"/>
        <v>INSERT INTO sy_perm_list (USER_CD, OPT_CD, ACCESS_TYPE, BRANCH_CODE, CLASS_CODE, ENT_BY, ENT_DATE, ENT_BY_IP)</v>
      </c>
      <c r="AH315" s="12" t="str">
        <f t="shared" si="186"/>
        <v>VALUES('08805828','HealthLife.aspx', 'USER', '01', '08', 'ABDUL', SYSDATE, '10.6.100.63');</v>
      </c>
      <c r="AI315" s="12" t="str">
        <f t="shared" si="133"/>
        <v>INSERT INTO sy_perm_list (USER_CD, OPT_CD, ACCESS_TYPE, BRANCH_CODE, CLASS_CODE, ENT_BY, ENT_DATE, ENT_BY_IP)</v>
      </c>
      <c r="AJ315" s="12" t="str">
        <f t="shared" si="187"/>
        <v>VALUES('08805828','IpdClaim.aspx', 'USER', '01', '08', 'ABDUL', SYSDATE, '10.6.100.63');</v>
      </c>
      <c r="AK315" s="12" t="str">
        <f t="shared" si="135"/>
        <v>INSERT INTO sy_perm_list (USER_CD, OPT_CD, ACCESS_TYPE, BRANCH_CODE, CLASS_CODE, ENT_BY, ENT_DATE, ENT_BY_IP)</v>
      </c>
      <c r="AL315" s="12" t="str">
        <f t="shared" si="188"/>
        <v>VALUES('08805828','OpdClaim.aspx', 'USER', '01', '08', 'ABDUL', SYSDATE, '10.6.100.63');</v>
      </c>
      <c r="AM315" s="12" t="str">
        <f t="shared" si="137"/>
        <v>INSERT INTO sy_perm_list (USER_CD, OPT_CD, ACCESS_TYPE, BRANCH_CODE, CLASS_CODE, ENT_BY, ENT_DATE, ENT_BY_IP)</v>
      </c>
      <c r="AN315" s="12" t="str">
        <f t="shared" si="189"/>
        <v>VALUES('08805828','RequestDetails.aspx', 'USER', '01', '08', 'ABDUL', SYSDATE, '10.6.100.63');</v>
      </c>
      <c r="AO315" s="12" t="str">
        <f t="shared" si="139"/>
        <v>INSERT INTO sy_perm_list (USER_CD, OPT_CD, ACCESS_TYPE, BRANCH_CODE, CLASS_CODE, ENT_BY, ENT_DATE, ENT_BY_IP)</v>
      </c>
      <c r="AP315" s="12" t="str">
        <f t="shared" si="190"/>
        <v>VALUES('08805828','TodaysRequest.aspx', 'USER', '01', '08', 'ABDUL', SYSDATE, '10.6.100.63');</v>
      </c>
    </row>
    <row r="316" spans="1:42" ht="78" thickBot="1" x14ac:dyDescent="0.3">
      <c r="A316" s="37"/>
      <c r="B316" s="37" t="s">
        <v>1472</v>
      </c>
      <c r="C316" s="37"/>
      <c r="D316" s="37"/>
      <c r="E316" s="37"/>
      <c r="F316" s="37"/>
      <c r="G316" s="37"/>
      <c r="H316" s="37"/>
      <c r="I316" s="37"/>
      <c r="J316" s="46" t="s">
        <v>1473</v>
      </c>
      <c r="K316" s="46" t="s">
        <v>1474</v>
      </c>
      <c r="L316" s="80" t="s">
        <v>1475</v>
      </c>
      <c r="M316" s="11" t="s">
        <v>1476</v>
      </c>
      <c r="N316" s="37"/>
      <c r="O316" s="37"/>
      <c r="P316" s="37"/>
      <c r="Q316" s="37"/>
      <c r="R316" s="37"/>
      <c r="S31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6" s="12" t="str">
        <f t="shared" ref="T316:T325" si="191">"VALUES('"&amp;B316&amp;"','"&amp;K316&amp;"','Salaam@123','Y','N',sysdate,'016', 'C', 'Client', '"&amp;L316&amp;"','01','B', '08', 'ABDUL', sysdate, '10.6.100.63', '"&amp;B316&amp;"');"</f>
        <v>VALUES('08805709','HYDROCHINA DAWOOD POWER (PRIVATE) LIMITED','Salaam@123','Y','N',sysdate,'016', 'C', 'Client', 'Muhammad Reyaar','01','B', '08', 'ABDUL', sysdate, '10.6.100.63', '08805709');</v>
      </c>
      <c r="U316" s="12" t="str">
        <f t="shared" si="119"/>
        <v>INSERT INTO sy_user_branches (USER_CD, BRANCH_CODE, CLASS_CODE, ENT_BY, ENT_DATE, ENT_BY_IP)</v>
      </c>
      <c r="V316" s="12" t="str">
        <f t="shared" ref="V316:V325" si="192">"values('"&amp;B316&amp;"','01', '08', 'ABDUL', sysdate, '10.6.100.63');"</f>
        <v>values('08805709','01', '08', 'ABDUL', sysdate, '10.6.100.63');</v>
      </c>
      <c r="W316" s="12" t="str">
        <f t="shared" si="121"/>
        <v>INSERT INTO sy_perm_list (USER_CD, OPT_CD, ACCESS_TYPE, BRANCH_CODE, CLASS_CODE, ENT_BY, ENT_DATE, ENT_BY_IP)</v>
      </c>
      <c r="X316" s="12" t="str">
        <f t="shared" ref="X316:X325" si="193">"VALUES('"&amp;B316&amp;"','ClaimComments.aspx', 'USER', '01', '08', 'ABDUL', SYSDATE, '10.6.100.63');"</f>
        <v>VALUES('08805709','ClaimComments.aspx', 'USER', '01', '08', 'ABDUL', SYSDATE, '10.6.100.63');</v>
      </c>
      <c r="Y316" s="12" t="str">
        <f t="shared" si="123"/>
        <v>INSERT INTO sy_perm_list (USER_CD, OPT_CD, ACCESS_TYPE, BRANCH_CODE, CLASS_CODE, ENT_BY, ENT_DATE, ENT_BY_IP)</v>
      </c>
      <c r="Z316" s="12" t="str">
        <f t="shared" ref="Z316:Z325" si="194">"VALUES('"&amp;B316&amp;"','ClaimDocs.aspx', 'USER', '01', '08', 'ABDUL', SYSDATE, '10.6.100.63');"</f>
        <v>VALUES('08805709','ClaimDocs.aspx', 'USER', '01', '08', 'ABDUL', SYSDATE, '10.6.100.63');</v>
      </c>
      <c r="AA316" s="12" t="str">
        <f t="shared" si="125"/>
        <v>INSERT INTO sy_perm_list (USER_CD, OPT_CD, ACCESS_TYPE, BRANCH_CODE, CLASS_CODE, ENT_BY, ENT_DATE, ENT_BY_IP)</v>
      </c>
      <c r="AB316" s="12" t="str">
        <f t="shared" ref="AB316:AB325" si="195">"VALUES('"&amp;B316&amp;"','Client.aspx', 'USER', '01', '08', 'ABDUL', SYSDATE, '10.6.100.63');"</f>
        <v>VALUES('08805709','Client.aspx', 'USER', '01', '08', 'ABDUL', SYSDATE, '10.6.100.63');</v>
      </c>
      <c r="AC316" s="12" t="str">
        <f t="shared" si="127"/>
        <v>INSERT INTO sy_perm_list (USER_CD, OPT_CD, ACCESS_TYPE, BRANCH_CODE, CLASS_CODE, ENT_BY, ENT_DATE, ENT_BY_IP)</v>
      </c>
      <c r="AD316" s="12" t="str">
        <f t="shared" ref="AD316:AD325" si="196">"VALUES('"&amp;B316&amp;"','ClientReports.aspx', 'USER', '01', '08', 'ABDUL', SYSDATE, '10.6.100.63');"</f>
        <v>VALUES('08805709','ClientReports.aspx', 'USER', '01', '08', 'ABDUL', SYSDATE, '10.6.100.63');</v>
      </c>
      <c r="AE316" s="12" t="str">
        <f t="shared" si="129"/>
        <v>INSERT INTO sy_perm_list (USER_CD, OPT_CD, ACCESS_TYPE, BRANCH_CODE, CLASS_CODE, ENT_BY, ENT_DATE, ENT_BY_IP)</v>
      </c>
      <c r="AF316" s="12" t="str">
        <f t="shared" ref="AF316:AF325" si="197">"VALUES('"&amp;B316&amp;"','ClientRequests.aspx', 'USER', '01', '08', 'ABDUL', SYSDATE, '10.6.100.63');"</f>
        <v>VALUES('08805709','ClientRequests.aspx', 'USER', '01', '08', 'ABDUL', SYSDATE, '10.6.100.63');</v>
      </c>
      <c r="AG316" s="12" t="str">
        <f t="shared" si="131"/>
        <v>INSERT INTO sy_perm_list (USER_CD, OPT_CD, ACCESS_TYPE, BRANCH_CODE, CLASS_CODE, ENT_BY, ENT_DATE, ENT_BY_IP)</v>
      </c>
      <c r="AH316" s="12" t="str">
        <f t="shared" ref="AH316:AH325" si="198">"VALUES('"&amp;B316&amp;"','HealthLife.aspx', 'USER', '01', '08', 'ABDUL', SYSDATE, '10.6.100.63');"</f>
        <v>VALUES('08805709','HealthLife.aspx', 'USER', '01', '08', 'ABDUL', SYSDATE, '10.6.100.63');</v>
      </c>
      <c r="AI316" s="12" t="str">
        <f t="shared" si="133"/>
        <v>INSERT INTO sy_perm_list (USER_CD, OPT_CD, ACCESS_TYPE, BRANCH_CODE, CLASS_CODE, ENT_BY, ENT_DATE, ENT_BY_IP)</v>
      </c>
      <c r="AJ316" s="12" t="str">
        <f t="shared" ref="AJ316:AJ325" si="199">"VALUES('"&amp;B316&amp;"','IpdClaim.aspx', 'USER', '01', '08', 'ABDUL', SYSDATE, '10.6.100.63');"</f>
        <v>VALUES('08805709','IpdClaim.aspx', 'USER', '01', '08', 'ABDUL', SYSDATE, '10.6.100.63');</v>
      </c>
      <c r="AK316" s="12" t="str">
        <f t="shared" si="135"/>
        <v>INSERT INTO sy_perm_list (USER_CD, OPT_CD, ACCESS_TYPE, BRANCH_CODE, CLASS_CODE, ENT_BY, ENT_DATE, ENT_BY_IP)</v>
      </c>
      <c r="AL316" s="12" t="str">
        <f t="shared" ref="AL316:AL325" si="200">"VALUES('"&amp;B316&amp;"','OpdClaim.aspx', 'USER', '01', '08', 'ABDUL', SYSDATE, '10.6.100.63');"</f>
        <v>VALUES('08805709','OpdClaim.aspx', 'USER', '01', '08', 'ABDUL', SYSDATE, '10.6.100.63');</v>
      </c>
      <c r="AM316" s="12" t="str">
        <f t="shared" si="137"/>
        <v>INSERT INTO sy_perm_list (USER_CD, OPT_CD, ACCESS_TYPE, BRANCH_CODE, CLASS_CODE, ENT_BY, ENT_DATE, ENT_BY_IP)</v>
      </c>
      <c r="AN316" s="12" t="str">
        <f t="shared" ref="AN316:AN325" si="201">"VALUES('"&amp;B316&amp;"','RequestDetails.aspx', 'USER', '01', '08', 'ABDUL', SYSDATE, '10.6.100.63');"</f>
        <v>VALUES('08805709','RequestDetails.aspx', 'USER', '01', '08', 'ABDUL', SYSDATE, '10.6.100.63');</v>
      </c>
      <c r="AO316" s="12" t="str">
        <f t="shared" si="139"/>
        <v>INSERT INTO sy_perm_list (USER_CD, OPT_CD, ACCESS_TYPE, BRANCH_CODE, CLASS_CODE, ENT_BY, ENT_DATE, ENT_BY_IP)</v>
      </c>
      <c r="AP316" s="12" t="str">
        <f t="shared" ref="AP316:AP325" si="202">"VALUES('"&amp;B316&amp;"','TodaysRequest.aspx', 'USER', '01', '08', 'ABDUL', SYSDATE, '10.6.100.63');"</f>
        <v>VALUES('08805709','TodaysRequest.aspx', 'USER', '01', '08', 'ABDUL', SYSDATE, '10.6.100.63');</v>
      </c>
    </row>
    <row r="317" spans="1:42" ht="78" thickBot="1" x14ac:dyDescent="0.3">
      <c r="A317" s="37"/>
      <c r="B317" s="37" t="s">
        <v>1477</v>
      </c>
      <c r="C317" s="37"/>
      <c r="D317" s="37"/>
      <c r="E317" s="37"/>
      <c r="F317" s="37"/>
      <c r="G317" s="37"/>
      <c r="H317" s="37"/>
      <c r="I317" s="37"/>
      <c r="J317" s="46" t="s">
        <v>1478</v>
      </c>
      <c r="K317" s="59" t="s">
        <v>1479</v>
      </c>
      <c r="L317" s="49" t="s">
        <v>1480</v>
      </c>
      <c r="M317" s="11" t="s">
        <v>1481</v>
      </c>
      <c r="N317" s="37"/>
      <c r="O317" s="37"/>
      <c r="P317" s="37"/>
      <c r="Q317" s="37"/>
      <c r="R317" s="37"/>
      <c r="S317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7" s="12" t="str">
        <f t="shared" si="191"/>
        <v>VALUES('08801989','TOYOTA PORT QASIM MOTORS','Salaam@123','Y','N',sysdate,'016', 'C', 'Client', 'Nabeel Haroon','01','B', '08', 'ABDUL', sysdate, '10.6.100.63', '08801989');</v>
      </c>
      <c r="U317" s="12" t="str">
        <f t="shared" si="119"/>
        <v>INSERT INTO sy_user_branches (USER_CD, BRANCH_CODE, CLASS_CODE, ENT_BY, ENT_DATE, ENT_BY_IP)</v>
      </c>
      <c r="V317" s="12" t="str">
        <f t="shared" si="192"/>
        <v>values('08801989','01', '08', 'ABDUL', sysdate, '10.6.100.63');</v>
      </c>
      <c r="W317" s="12" t="str">
        <f t="shared" si="121"/>
        <v>INSERT INTO sy_perm_list (USER_CD, OPT_CD, ACCESS_TYPE, BRANCH_CODE, CLASS_CODE, ENT_BY, ENT_DATE, ENT_BY_IP)</v>
      </c>
      <c r="X317" s="12" t="str">
        <f t="shared" si="193"/>
        <v>VALUES('08801989','ClaimComments.aspx', 'USER', '01', '08', 'ABDUL', SYSDATE, '10.6.100.63');</v>
      </c>
      <c r="Y317" s="12" t="str">
        <f t="shared" si="123"/>
        <v>INSERT INTO sy_perm_list (USER_CD, OPT_CD, ACCESS_TYPE, BRANCH_CODE, CLASS_CODE, ENT_BY, ENT_DATE, ENT_BY_IP)</v>
      </c>
      <c r="Z317" s="12" t="str">
        <f t="shared" si="194"/>
        <v>VALUES('08801989','ClaimDocs.aspx', 'USER', '01', '08', 'ABDUL', SYSDATE, '10.6.100.63');</v>
      </c>
      <c r="AA317" s="12" t="str">
        <f t="shared" si="125"/>
        <v>INSERT INTO sy_perm_list (USER_CD, OPT_CD, ACCESS_TYPE, BRANCH_CODE, CLASS_CODE, ENT_BY, ENT_DATE, ENT_BY_IP)</v>
      </c>
      <c r="AB317" s="12" t="str">
        <f t="shared" si="195"/>
        <v>VALUES('08801989','Client.aspx', 'USER', '01', '08', 'ABDUL', SYSDATE, '10.6.100.63');</v>
      </c>
      <c r="AC317" s="12" t="str">
        <f t="shared" si="127"/>
        <v>INSERT INTO sy_perm_list (USER_CD, OPT_CD, ACCESS_TYPE, BRANCH_CODE, CLASS_CODE, ENT_BY, ENT_DATE, ENT_BY_IP)</v>
      </c>
      <c r="AD317" s="12" t="str">
        <f t="shared" si="196"/>
        <v>VALUES('08801989','ClientReports.aspx', 'USER', '01', '08', 'ABDUL', SYSDATE, '10.6.100.63');</v>
      </c>
      <c r="AE317" s="12" t="str">
        <f t="shared" si="129"/>
        <v>INSERT INTO sy_perm_list (USER_CD, OPT_CD, ACCESS_TYPE, BRANCH_CODE, CLASS_CODE, ENT_BY, ENT_DATE, ENT_BY_IP)</v>
      </c>
      <c r="AF317" s="12" t="str">
        <f t="shared" si="197"/>
        <v>VALUES('08801989','ClientRequests.aspx', 'USER', '01', '08', 'ABDUL', SYSDATE, '10.6.100.63');</v>
      </c>
      <c r="AG317" s="12" t="str">
        <f t="shared" si="131"/>
        <v>INSERT INTO sy_perm_list (USER_CD, OPT_CD, ACCESS_TYPE, BRANCH_CODE, CLASS_CODE, ENT_BY, ENT_DATE, ENT_BY_IP)</v>
      </c>
      <c r="AH317" s="12" t="str">
        <f t="shared" si="198"/>
        <v>VALUES('08801989','HealthLife.aspx', 'USER', '01', '08', 'ABDUL', SYSDATE, '10.6.100.63');</v>
      </c>
      <c r="AI317" s="12" t="str">
        <f t="shared" si="133"/>
        <v>INSERT INTO sy_perm_list (USER_CD, OPT_CD, ACCESS_TYPE, BRANCH_CODE, CLASS_CODE, ENT_BY, ENT_DATE, ENT_BY_IP)</v>
      </c>
      <c r="AJ317" s="12" t="str">
        <f t="shared" si="199"/>
        <v>VALUES('08801989','IpdClaim.aspx', 'USER', '01', '08', 'ABDUL', SYSDATE, '10.6.100.63');</v>
      </c>
      <c r="AK317" s="12" t="str">
        <f t="shared" si="135"/>
        <v>INSERT INTO sy_perm_list (USER_CD, OPT_CD, ACCESS_TYPE, BRANCH_CODE, CLASS_CODE, ENT_BY, ENT_DATE, ENT_BY_IP)</v>
      </c>
      <c r="AL317" s="12" t="str">
        <f t="shared" si="200"/>
        <v>VALUES('08801989','OpdClaim.aspx', 'USER', '01', '08', 'ABDUL', SYSDATE, '10.6.100.63');</v>
      </c>
      <c r="AM317" s="12" t="str">
        <f t="shared" si="137"/>
        <v>INSERT INTO sy_perm_list (USER_CD, OPT_CD, ACCESS_TYPE, BRANCH_CODE, CLASS_CODE, ENT_BY, ENT_DATE, ENT_BY_IP)</v>
      </c>
      <c r="AN317" s="12" t="str">
        <f t="shared" si="201"/>
        <v>VALUES('08801989','RequestDetails.aspx', 'USER', '01', '08', 'ABDUL', SYSDATE, '10.6.100.63');</v>
      </c>
      <c r="AO317" s="12" t="str">
        <f t="shared" si="139"/>
        <v>INSERT INTO sy_perm_list (USER_CD, OPT_CD, ACCESS_TYPE, BRANCH_CODE, CLASS_CODE, ENT_BY, ENT_DATE, ENT_BY_IP)</v>
      </c>
      <c r="AP317" s="12" t="str">
        <f t="shared" si="202"/>
        <v>VALUES('08801989','TodaysRequest.aspx', 'USER', '01', '08', 'ABDUL', SYSDATE, '10.6.100.63');</v>
      </c>
    </row>
    <row r="318" spans="1:42" ht="77.25" x14ac:dyDescent="0.25">
      <c r="A318" s="37"/>
      <c r="B318" s="37" t="s">
        <v>1482</v>
      </c>
      <c r="C318" s="37"/>
      <c r="D318" s="37"/>
      <c r="E318" s="37"/>
      <c r="F318" s="37"/>
      <c r="G318" s="37"/>
      <c r="H318" s="37"/>
      <c r="I318" s="37"/>
      <c r="J318" s="37" t="s">
        <v>1483</v>
      </c>
      <c r="K318" s="10" t="s">
        <v>1484</v>
      </c>
      <c r="L318" s="49" t="s">
        <v>1486</v>
      </c>
      <c r="M318" s="11" t="s">
        <v>1485</v>
      </c>
      <c r="N318" s="37"/>
      <c r="O318" s="37"/>
      <c r="P318" s="37"/>
      <c r="Q318" s="37"/>
      <c r="R318" s="37"/>
      <c r="S318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8" s="12" t="str">
        <f t="shared" si="191"/>
        <v>VALUES('08806417','Aisha Steel Mills','Salaam@123','Y','N',sysdate,'016', 'C', 'Client', 'Kamran Hafeez','01','B', '08', 'ABDUL', sysdate, '10.6.100.63', '08806417');</v>
      </c>
      <c r="U318" s="12" t="str">
        <f t="shared" si="119"/>
        <v>INSERT INTO sy_user_branches (USER_CD, BRANCH_CODE, CLASS_CODE, ENT_BY, ENT_DATE, ENT_BY_IP)</v>
      </c>
      <c r="V318" s="12" t="str">
        <f t="shared" si="192"/>
        <v>values('08806417','01', '08', 'ABDUL', sysdate, '10.6.100.63');</v>
      </c>
      <c r="W318" s="12" t="str">
        <f t="shared" si="121"/>
        <v>INSERT INTO sy_perm_list (USER_CD, OPT_CD, ACCESS_TYPE, BRANCH_CODE, CLASS_CODE, ENT_BY, ENT_DATE, ENT_BY_IP)</v>
      </c>
      <c r="X318" s="12" t="str">
        <f t="shared" si="193"/>
        <v>VALUES('08806417','ClaimComments.aspx', 'USER', '01', '08', 'ABDUL', SYSDATE, '10.6.100.63');</v>
      </c>
      <c r="Y318" s="12" t="str">
        <f t="shared" si="123"/>
        <v>INSERT INTO sy_perm_list (USER_CD, OPT_CD, ACCESS_TYPE, BRANCH_CODE, CLASS_CODE, ENT_BY, ENT_DATE, ENT_BY_IP)</v>
      </c>
      <c r="Z318" s="12" t="str">
        <f t="shared" si="194"/>
        <v>VALUES('08806417','ClaimDocs.aspx', 'USER', '01', '08', 'ABDUL', SYSDATE, '10.6.100.63');</v>
      </c>
      <c r="AA318" s="12" t="str">
        <f t="shared" si="125"/>
        <v>INSERT INTO sy_perm_list (USER_CD, OPT_CD, ACCESS_TYPE, BRANCH_CODE, CLASS_CODE, ENT_BY, ENT_DATE, ENT_BY_IP)</v>
      </c>
      <c r="AB318" s="12" t="str">
        <f t="shared" si="195"/>
        <v>VALUES('08806417','Client.aspx', 'USER', '01', '08', 'ABDUL', SYSDATE, '10.6.100.63');</v>
      </c>
      <c r="AC318" s="12" t="str">
        <f t="shared" si="127"/>
        <v>INSERT INTO sy_perm_list (USER_CD, OPT_CD, ACCESS_TYPE, BRANCH_CODE, CLASS_CODE, ENT_BY, ENT_DATE, ENT_BY_IP)</v>
      </c>
      <c r="AD318" s="12" t="str">
        <f t="shared" si="196"/>
        <v>VALUES('08806417','ClientReports.aspx', 'USER', '01', '08', 'ABDUL', SYSDATE, '10.6.100.63');</v>
      </c>
      <c r="AE318" s="12" t="str">
        <f t="shared" si="129"/>
        <v>INSERT INTO sy_perm_list (USER_CD, OPT_CD, ACCESS_TYPE, BRANCH_CODE, CLASS_CODE, ENT_BY, ENT_DATE, ENT_BY_IP)</v>
      </c>
      <c r="AF318" s="12" t="str">
        <f t="shared" si="197"/>
        <v>VALUES('08806417','ClientRequests.aspx', 'USER', '01', '08', 'ABDUL', SYSDATE, '10.6.100.63');</v>
      </c>
      <c r="AG318" s="12" t="str">
        <f t="shared" si="131"/>
        <v>INSERT INTO sy_perm_list (USER_CD, OPT_CD, ACCESS_TYPE, BRANCH_CODE, CLASS_CODE, ENT_BY, ENT_DATE, ENT_BY_IP)</v>
      </c>
      <c r="AH318" s="12" t="str">
        <f t="shared" si="198"/>
        <v>VALUES('08806417','HealthLife.aspx', 'USER', '01', '08', 'ABDUL', SYSDATE, '10.6.100.63');</v>
      </c>
      <c r="AI318" s="12" t="str">
        <f t="shared" si="133"/>
        <v>INSERT INTO sy_perm_list (USER_CD, OPT_CD, ACCESS_TYPE, BRANCH_CODE, CLASS_CODE, ENT_BY, ENT_DATE, ENT_BY_IP)</v>
      </c>
      <c r="AJ318" s="12" t="str">
        <f t="shared" si="199"/>
        <v>VALUES('08806417','IpdClaim.aspx', 'USER', '01', '08', 'ABDUL', SYSDATE, '10.6.100.63');</v>
      </c>
      <c r="AK318" s="12" t="str">
        <f t="shared" si="135"/>
        <v>INSERT INTO sy_perm_list (USER_CD, OPT_CD, ACCESS_TYPE, BRANCH_CODE, CLASS_CODE, ENT_BY, ENT_DATE, ENT_BY_IP)</v>
      </c>
      <c r="AL318" s="12" t="str">
        <f t="shared" si="200"/>
        <v>VALUES('08806417','OpdClaim.aspx', 'USER', '01', '08', 'ABDUL', SYSDATE, '10.6.100.63');</v>
      </c>
      <c r="AM318" s="12" t="str">
        <f t="shared" si="137"/>
        <v>INSERT INTO sy_perm_list (USER_CD, OPT_CD, ACCESS_TYPE, BRANCH_CODE, CLASS_CODE, ENT_BY, ENT_DATE, ENT_BY_IP)</v>
      </c>
      <c r="AN318" s="12" t="str">
        <f t="shared" si="201"/>
        <v>VALUES('08806417','RequestDetails.aspx', 'USER', '01', '08', 'ABDUL', SYSDATE, '10.6.100.63');</v>
      </c>
      <c r="AO318" s="12" t="str">
        <f t="shared" si="139"/>
        <v>INSERT INTO sy_perm_list (USER_CD, OPT_CD, ACCESS_TYPE, BRANCH_CODE, CLASS_CODE, ENT_BY, ENT_DATE, ENT_BY_IP)</v>
      </c>
      <c r="AP318" s="12" t="str">
        <f t="shared" si="202"/>
        <v>VALUES('08806417','TodaysRequest.aspx', 'USER', '01', '08', 'ABDUL', SYSDATE, '10.6.100.63');</v>
      </c>
    </row>
    <row r="319" spans="1:42" ht="78" thickBot="1" x14ac:dyDescent="0.3">
      <c r="A319" s="37"/>
      <c r="B319" s="37" t="s">
        <v>1487</v>
      </c>
      <c r="C319" s="37"/>
      <c r="D319" s="37"/>
      <c r="E319" s="37"/>
      <c r="F319" s="37"/>
      <c r="G319" s="37"/>
      <c r="H319" s="37"/>
      <c r="I319" s="37"/>
      <c r="J319" s="54" t="s">
        <v>1488</v>
      </c>
      <c r="K319" s="54" t="s">
        <v>1489</v>
      </c>
      <c r="L319" s="54" t="s">
        <v>1490</v>
      </c>
      <c r="M319" s="55" t="s">
        <v>1491</v>
      </c>
      <c r="N319" s="37"/>
      <c r="O319" s="37"/>
      <c r="P319" s="37"/>
      <c r="Q319" s="37"/>
      <c r="R319" s="37"/>
      <c r="S319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19" s="12" t="str">
        <f t="shared" si="191"/>
        <v>VALUES('08802675','ALFRED H KNIGHT PAKISTAN (PVT) LTD','Salaam@123','Y','N',sysdate,'016', 'C', 'Client', 'Uzma Saleem','01','B', '08', 'ABDUL', sysdate, '10.6.100.63', '08802675');</v>
      </c>
      <c r="U319" s="12" t="str">
        <f t="shared" si="119"/>
        <v>INSERT INTO sy_user_branches (USER_CD, BRANCH_CODE, CLASS_CODE, ENT_BY, ENT_DATE, ENT_BY_IP)</v>
      </c>
      <c r="V319" s="12" t="str">
        <f t="shared" si="192"/>
        <v>values('08802675','01', '08', 'ABDUL', sysdate, '10.6.100.63');</v>
      </c>
      <c r="W319" s="12" t="str">
        <f t="shared" si="121"/>
        <v>INSERT INTO sy_perm_list (USER_CD, OPT_CD, ACCESS_TYPE, BRANCH_CODE, CLASS_CODE, ENT_BY, ENT_DATE, ENT_BY_IP)</v>
      </c>
      <c r="X319" s="12" t="str">
        <f t="shared" si="193"/>
        <v>VALUES('08802675','ClaimComments.aspx', 'USER', '01', '08', 'ABDUL', SYSDATE, '10.6.100.63');</v>
      </c>
      <c r="Y319" s="12" t="str">
        <f t="shared" si="123"/>
        <v>INSERT INTO sy_perm_list (USER_CD, OPT_CD, ACCESS_TYPE, BRANCH_CODE, CLASS_CODE, ENT_BY, ENT_DATE, ENT_BY_IP)</v>
      </c>
      <c r="Z319" s="12" t="str">
        <f t="shared" si="194"/>
        <v>VALUES('08802675','ClaimDocs.aspx', 'USER', '01', '08', 'ABDUL', SYSDATE, '10.6.100.63');</v>
      </c>
      <c r="AA319" s="12" t="str">
        <f t="shared" si="125"/>
        <v>INSERT INTO sy_perm_list (USER_CD, OPT_CD, ACCESS_TYPE, BRANCH_CODE, CLASS_CODE, ENT_BY, ENT_DATE, ENT_BY_IP)</v>
      </c>
      <c r="AB319" s="12" t="str">
        <f t="shared" si="195"/>
        <v>VALUES('08802675','Client.aspx', 'USER', '01', '08', 'ABDUL', SYSDATE, '10.6.100.63');</v>
      </c>
      <c r="AC319" s="12" t="str">
        <f t="shared" si="127"/>
        <v>INSERT INTO sy_perm_list (USER_CD, OPT_CD, ACCESS_TYPE, BRANCH_CODE, CLASS_CODE, ENT_BY, ENT_DATE, ENT_BY_IP)</v>
      </c>
      <c r="AD319" s="12" t="str">
        <f t="shared" si="196"/>
        <v>VALUES('08802675','ClientReports.aspx', 'USER', '01', '08', 'ABDUL', SYSDATE, '10.6.100.63');</v>
      </c>
      <c r="AE319" s="12" t="str">
        <f t="shared" si="129"/>
        <v>INSERT INTO sy_perm_list (USER_CD, OPT_CD, ACCESS_TYPE, BRANCH_CODE, CLASS_CODE, ENT_BY, ENT_DATE, ENT_BY_IP)</v>
      </c>
      <c r="AF319" s="12" t="str">
        <f t="shared" si="197"/>
        <v>VALUES('08802675','ClientRequests.aspx', 'USER', '01', '08', 'ABDUL', SYSDATE, '10.6.100.63');</v>
      </c>
      <c r="AG319" s="12" t="str">
        <f t="shared" si="131"/>
        <v>INSERT INTO sy_perm_list (USER_CD, OPT_CD, ACCESS_TYPE, BRANCH_CODE, CLASS_CODE, ENT_BY, ENT_DATE, ENT_BY_IP)</v>
      </c>
      <c r="AH319" s="12" t="str">
        <f t="shared" si="198"/>
        <v>VALUES('08802675','HealthLife.aspx', 'USER', '01', '08', 'ABDUL', SYSDATE, '10.6.100.63');</v>
      </c>
      <c r="AI319" s="12" t="str">
        <f t="shared" si="133"/>
        <v>INSERT INTO sy_perm_list (USER_CD, OPT_CD, ACCESS_TYPE, BRANCH_CODE, CLASS_CODE, ENT_BY, ENT_DATE, ENT_BY_IP)</v>
      </c>
      <c r="AJ319" s="12" t="str">
        <f t="shared" si="199"/>
        <v>VALUES('08802675','IpdClaim.aspx', 'USER', '01', '08', 'ABDUL', SYSDATE, '10.6.100.63');</v>
      </c>
      <c r="AK319" s="12" t="str">
        <f t="shared" si="135"/>
        <v>INSERT INTO sy_perm_list (USER_CD, OPT_CD, ACCESS_TYPE, BRANCH_CODE, CLASS_CODE, ENT_BY, ENT_DATE, ENT_BY_IP)</v>
      </c>
      <c r="AL319" s="12" t="str">
        <f t="shared" si="200"/>
        <v>VALUES('08802675','OpdClaim.aspx', 'USER', '01', '08', 'ABDUL', SYSDATE, '10.6.100.63');</v>
      </c>
      <c r="AM319" s="12" t="str">
        <f t="shared" si="137"/>
        <v>INSERT INTO sy_perm_list (USER_CD, OPT_CD, ACCESS_TYPE, BRANCH_CODE, CLASS_CODE, ENT_BY, ENT_DATE, ENT_BY_IP)</v>
      </c>
      <c r="AN319" s="12" t="str">
        <f t="shared" si="201"/>
        <v>VALUES('08802675','RequestDetails.aspx', 'USER', '01', '08', 'ABDUL', SYSDATE, '10.6.100.63');</v>
      </c>
      <c r="AO319" s="12" t="str">
        <f t="shared" si="139"/>
        <v>INSERT INTO sy_perm_list (USER_CD, OPT_CD, ACCESS_TYPE, BRANCH_CODE, CLASS_CODE, ENT_BY, ENT_DATE, ENT_BY_IP)</v>
      </c>
      <c r="AP319" s="12" t="str">
        <f t="shared" si="202"/>
        <v>VALUES('08802675','TodaysRequest.aspx', 'USER', '01', '08', 'ABDUL', SYSDATE, '10.6.100.63');</v>
      </c>
    </row>
    <row r="320" spans="1:42" ht="78" thickBot="1" x14ac:dyDescent="0.3">
      <c r="A320" s="37"/>
      <c r="B320" s="37" t="s">
        <v>1492</v>
      </c>
      <c r="C320" s="37"/>
      <c r="D320" s="37"/>
      <c r="E320" s="37"/>
      <c r="F320" s="37"/>
      <c r="G320" s="37"/>
      <c r="H320" s="37"/>
      <c r="I320" s="37"/>
      <c r="J320" s="46" t="s">
        <v>1493</v>
      </c>
      <c r="K320" s="46" t="s">
        <v>1494</v>
      </c>
      <c r="L320" s="46" t="s">
        <v>1495</v>
      </c>
      <c r="M320" s="42" t="s">
        <v>1496</v>
      </c>
      <c r="N320" s="37"/>
      <c r="O320" s="37"/>
      <c r="P320" s="37"/>
      <c r="Q320" s="37"/>
      <c r="R320" s="37"/>
      <c r="S320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0" s="12" t="str">
        <f t="shared" si="191"/>
        <v>VALUES('08806637','Ranipur Sugar Mills (Private) Limited','Salaam@123','Y','N',sysdate,'016', 'C', 'Client', 'Rameez Ahmed Malik','01','B', '08', 'ABDUL', sysdate, '10.6.100.63', '08806637');</v>
      </c>
      <c r="U320" s="12" t="str">
        <f t="shared" si="119"/>
        <v>INSERT INTO sy_user_branches (USER_CD, BRANCH_CODE, CLASS_CODE, ENT_BY, ENT_DATE, ENT_BY_IP)</v>
      </c>
      <c r="V320" s="12" t="str">
        <f t="shared" si="192"/>
        <v>values('08806637','01', '08', 'ABDUL', sysdate, '10.6.100.63');</v>
      </c>
      <c r="W320" s="12" t="str">
        <f t="shared" si="121"/>
        <v>INSERT INTO sy_perm_list (USER_CD, OPT_CD, ACCESS_TYPE, BRANCH_CODE, CLASS_CODE, ENT_BY, ENT_DATE, ENT_BY_IP)</v>
      </c>
      <c r="X320" s="12" t="str">
        <f t="shared" si="193"/>
        <v>VALUES('08806637','ClaimComments.aspx', 'USER', '01', '08', 'ABDUL', SYSDATE, '10.6.100.63');</v>
      </c>
      <c r="Y320" s="12" t="str">
        <f t="shared" si="123"/>
        <v>INSERT INTO sy_perm_list (USER_CD, OPT_CD, ACCESS_TYPE, BRANCH_CODE, CLASS_CODE, ENT_BY, ENT_DATE, ENT_BY_IP)</v>
      </c>
      <c r="Z320" s="12" t="str">
        <f t="shared" si="194"/>
        <v>VALUES('08806637','ClaimDocs.aspx', 'USER', '01', '08', 'ABDUL', SYSDATE, '10.6.100.63');</v>
      </c>
      <c r="AA320" s="12" t="str">
        <f t="shared" si="125"/>
        <v>INSERT INTO sy_perm_list (USER_CD, OPT_CD, ACCESS_TYPE, BRANCH_CODE, CLASS_CODE, ENT_BY, ENT_DATE, ENT_BY_IP)</v>
      </c>
      <c r="AB320" s="12" t="str">
        <f t="shared" si="195"/>
        <v>VALUES('08806637','Client.aspx', 'USER', '01', '08', 'ABDUL', SYSDATE, '10.6.100.63');</v>
      </c>
      <c r="AC320" s="12" t="str">
        <f t="shared" si="127"/>
        <v>INSERT INTO sy_perm_list (USER_CD, OPT_CD, ACCESS_TYPE, BRANCH_CODE, CLASS_CODE, ENT_BY, ENT_DATE, ENT_BY_IP)</v>
      </c>
      <c r="AD320" s="12" t="str">
        <f t="shared" si="196"/>
        <v>VALUES('08806637','ClientReports.aspx', 'USER', '01', '08', 'ABDUL', SYSDATE, '10.6.100.63');</v>
      </c>
      <c r="AE320" s="12" t="str">
        <f t="shared" si="129"/>
        <v>INSERT INTO sy_perm_list (USER_CD, OPT_CD, ACCESS_TYPE, BRANCH_CODE, CLASS_CODE, ENT_BY, ENT_DATE, ENT_BY_IP)</v>
      </c>
      <c r="AF320" s="12" t="str">
        <f t="shared" si="197"/>
        <v>VALUES('08806637','ClientRequests.aspx', 'USER', '01', '08', 'ABDUL', SYSDATE, '10.6.100.63');</v>
      </c>
      <c r="AG320" s="12" t="str">
        <f t="shared" si="131"/>
        <v>INSERT INTO sy_perm_list (USER_CD, OPT_CD, ACCESS_TYPE, BRANCH_CODE, CLASS_CODE, ENT_BY, ENT_DATE, ENT_BY_IP)</v>
      </c>
      <c r="AH320" s="12" t="str">
        <f t="shared" si="198"/>
        <v>VALUES('08806637','HealthLife.aspx', 'USER', '01', '08', 'ABDUL', SYSDATE, '10.6.100.63');</v>
      </c>
      <c r="AI320" s="12" t="str">
        <f t="shared" si="133"/>
        <v>INSERT INTO sy_perm_list (USER_CD, OPT_CD, ACCESS_TYPE, BRANCH_CODE, CLASS_CODE, ENT_BY, ENT_DATE, ENT_BY_IP)</v>
      </c>
      <c r="AJ320" s="12" t="str">
        <f t="shared" si="199"/>
        <v>VALUES('08806637','IpdClaim.aspx', 'USER', '01', '08', 'ABDUL', SYSDATE, '10.6.100.63');</v>
      </c>
      <c r="AK320" s="12" t="str">
        <f t="shared" si="135"/>
        <v>INSERT INTO sy_perm_list (USER_CD, OPT_CD, ACCESS_TYPE, BRANCH_CODE, CLASS_CODE, ENT_BY, ENT_DATE, ENT_BY_IP)</v>
      </c>
      <c r="AL320" s="12" t="str">
        <f t="shared" si="200"/>
        <v>VALUES('08806637','OpdClaim.aspx', 'USER', '01', '08', 'ABDUL', SYSDATE, '10.6.100.63');</v>
      </c>
      <c r="AM320" s="12" t="str">
        <f t="shared" si="137"/>
        <v>INSERT INTO sy_perm_list (USER_CD, OPT_CD, ACCESS_TYPE, BRANCH_CODE, CLASS_CODE, ENT_BY, ENT_DATE, ENT_BY_IP)</v>
      </c>
      <c r="AN320" s="12" t="str">
        <f t="shared" si="201"/>
        <v>VALUES('08806637','RequestDetails.aspx', 'USER', '01', '08', 'ABDUL', SYSDATE, '10.6.100.63');</v>
      </c>
      <c r="AO320" s="12" t="str">
        <f t="shared" si="139"/>
        <v>INSERT INTO sy_perm_list (USER_CD, OPT_CD, ACCESS_TYPE, BRANCH_CODE, CLASS_CODE, ENT_BY, ENT_DATE, ENT_BY_IP)</v>
      </c>
      <c r="AP320" s="12" t="str">
        <f t="shared" si="202"/>
        <v>VALUES('08806637','TodaysRequest.aspx', 'USER', '01', '08', 'ABDUL', SYSDATE, '10.6.100.63');</v>
      </c>
    </row>
    <row r="321" spans="1:42" ht="78" thickBot="1" x14ac:dyDescent="0.3">
      <c r="A321" s="37"/>
      <c r="B321" s="37" t="s">
        <v>1497</v>
      </c>
      <c r="C321" s="37"/>
      <c r="D321" s="37"/>
      <c r="E321" s="37"/>
      <c r="F321" s="37"/>
      <c r="G321" s="37"/>
      <c r="H321" s="37"/>
      <c r="I321" s="37"/>
      <c r="J321" s="46" t="s">
        <v>1498</v>
      </c>
      <c r="K321" s="46" t="s">
        <v>1499</v>
      </c>
      <c r="L321" s="46" t="s">
        <v>1500</v>
      </c>
      <c r="M321" s="42" t="s">
        <v>1501</v>
      </c>
      <c r="N321" s="37"/>
      <c r="O321" s="37"/>
      <c r="P321" s="37"/>
      <c r="Q321" s="37"/>
      <c r="R321" s="37"/>
      <c r="S321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1" s="12" t="str">
        <f t="shared" si="191"/>
        <v>VALUES('08805115','Trellis Housing Finance Ltd','Salaam@123','Y','N',sysdate,'016', 'C', 'Client', 'Hira Munir','01','B', '08', 'ABDUL', sysdate, '10.6.100.63', '08805115');</v>
      </c>
      <c r="U321" s="12" t="str">
        <f t="shared" si="119"/>
        <v>INSERT INTO sy_user_branches (USER_CD, BRANCH_CODE, CLASS_CODE, ENT_BY, ENT_DATE, ENT_BY_IP)</v>
      </c>
      <c r="V321" s="12" t="str">
        <f t="shared" si="192"/>
        <v>values('08805115','01', '08', 'ABDUL', sysdate, '10.6.100.63');</v>
      </c>
      <c r="W321" s="12" t="str">
        <f t="shared" si="121"/>
        <v>INSERT INTO sy_perm_list (USER_CD, OPT_CD, ACCESS_TYPE, BRANCH_CODE, CLASS_CODE, ENT_BY, ENT_DATE, ENT_BY_IP)</v>
      </c>
      <c r="X321" s="12" t="str">
        <f t="shared" si="193"/>
        <v>VALUES('08805115','ClaimComments.aspx', 'USER', '01', '08', 'ABDUL', SYSDATE, '10.6.100.63');</v>
      </c>
      <c r="Y321" s="12" t="str">
        <f t="shared" si="123"/>
        <v>INSERT INTO sy_perm_list (USER_CD, OPT_CD, ACCESS_TYPE, BRANCH_CODE, CLASS_CODE, ENT_BY, ENT_DATE, ENT_BY_IP)</v>
      </c>
      <c r="Z321" s="12" t="str">
        <f t="shared" si="194"/>
        <v>VALUES('08805115','ClaimDocs.aspx', 'USER', '01', '08', 'ABDUL', SYSDATE, '10.6.100.63');</v>
      </c>
      <c r="AA321" s="12" t="str">
        <f t="shared" si="125"/>
        <v>INSERT INTO sy_perm_list (USER_CD, OPT_CD, ACCESS_TYPE, BRANCH_CODE, CLASS_CODE, ENT_BY, ENT_DATE, ENT_BY_IP)</v>
      </c>
      <c r="AB321" s="12" t="str">
        <f t="shared" si="195"/>
        <v>VALUES('08805115','Client.aspx', 'USER', '01', '08', 'ABDUL', SYSDATE, '10.6.100.63');</v>
      </c>
      <c r="AC321" s="12" t="str">
        <f t="shared" si="127"/>
        <v>INSERT INTO sy_perm_list (USER_CD, OPT_CD, ACCESS_TYPE, BRANCH_CODE, CLASS_CODE, ENT_BY, ENT_DATE, ENT_BY_IP)</v>
      </c>
      <c r="AD321" s="12" t="str">
        <f t="shared" si="196"/>
        <v>VALUES('08805115','ClientReports.aspx', 'USER', '01', '08', 'ABDUL', SYSDATE, '10.6.100.63');</v>
      </c>
      <c r="AE321" s="12" t="str">
        <f t="shared" si="129"/>
        <v>INSERT INTO sy_perm_list (USER_CD, OPT_CD, ACCESS_TYPE, BRANCH_CODE, CLASS_CODE, ENT_BY, ENT_DATE, ENT_BY_IP)</v>
      </c>
      <c r="AF321" s="12" t="str">
        <f t="shared" si="197"/>
        <v>VALUES('08805115','ClientRequests.aspx', 'USER', '01', '08', 'ABDUL', SYSDATE, '10.6.100.63');</v>
      </c>
      <c r="AG321" s="12" t="str">
        <f t="shared" si="131"/>
        <v>INSERT INTO sy_perm_list (USER_CD, OPT_CD, ACCESS_TYPE, BRANCH_CODE, CLASS_CODE, ENT_BY, ENT_DATE, ENT_BY_IP)</v>
      </c>
      <c r="AH321" s="12" t="str">
        <f t="shared" si="198"/>
        <v>VALUES('08805115','HealthLife.aspx', 'USER', '01', '08', 'ABDUL', SYSDATE, '10.6.100.63');</v>
      </c>
      <c r="AI321" s="12" t="str">
        <f t="shared" si="133"/>
        <v>INSERT INTO sy_perm_list (USER_CD, OPT_CD, ACCESS_TYPE, BRANCH_CODE, CLASS_CODE, ENT_BY, ENT_DATE, ENT_BY_IP)</v>
      </c>
      <c r="AJ321" s="12" t="str">
        <f t="shared" si="199"/>
        <v>VALUES('08805115','IpdClaim.aspx', 'USER', '01', '08', 'ABDUL', SYSDATE, '10.6.100.63');</v>
      </c>
      <c r="AK321" s="12" t="str">
        <f t="shared" si="135"/>
        <v>INSERT INTO sy_perm_list (USER_CD, OPT_CD, ACCESS_TYPE, BRANCH_CODE, CLASS_CODE, ENT_BY, ENT_DATE, ENT_BY_IP)</v>
      </c>
      <c r="AL321" s="12" t="str">
        <f t="shared" si="200"/>
        <v>VALUES('08805115','OpdClaim.aspx', 'USER', '01', '08', 'ABDUL', SYSDATE, '10.6.100.63');</v>
      </c>
      <c r="AM321" s="12" t="str">
        <f t="shared" si="137"/>
        <v>INSERT INTO sy_perm_list (USER_CD, OPT_CD, ACCESS_TYPE, BRANCH_CODE, CLASS_CODE, ENT_BY, ENT_DATE, ENT_BY_IP)</v>
      </c>
      <c r="AN321" s="12" t="str">
        <f t="shared" si="201"/>
        <v>VALUES('08805115','RequestDetails.aspx', 'USER', '01', '08', 'ABDUL', SYSDATE, '10.6.100.63');</v>
      </c>
      <c r="AO321" s="12" t="str">
        <f t="shared" si="139"/>
        <v>INSERT INTO sy_perm_list (USER_CD, OPT_CD, ACCESS_TYPE, BRANCH_CODE, CLASS_CODE, ENT_BY, ENT_DATE, ENT_BY_IP)</v>
      </c>
      <c r="AP321" s="12" t="str">
        <f t="shared" si="202"/>
        <v>VALUES('08805115','TodaysRequest.aspx', 'USER', '01', '08', 'ABDUL', SYSDATE, '10.6.100.63');</v>
      </c>
    </row>
    <row r="322" spans="1:42" ht="78" thickBot="1" x14ac:dyDescent="0.3">
      <c r="A322" s="37"/>
      <c r="B322" s="37" t="s">
        <v>1502</v>
      </c>
      <c r="C322" s="37"/>
      <c r="D322" s="37"/>
      <c r="E322" s="37"/>
      <c r="F322" s="37"/>
      <c r="G322" s="37"/>
      <c r="H322" s="37"/>
      <c r="I322" s="37"/>
      <c r="J322" s="46" t="s">
        <v>1503</v>
      </c>
      <c r="K322" s="83" t="s">
        <v>1504</v>
      </c>
      <c r="L322" s="82" t="s">
        <v>1505</v>
      </c>
      <c r="M322" s="46" t="s">
        <v>1506</v>
      </c>
      <c r="N322" s="37"/>
      <c r="O322" s="37"/>
      <c r="P322" s="37"/>
      <c r="Q322" s="37"/>
      <c r="R322" s="37"/>
      <c r="S322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2" s="12" t="str">
        <f t="shared" si="191"/>
        <v>VALUES('08801100','Polymer Access Private Limited','Salaam@123','Y','N',sysdate,'016', 'C', 'Client', 'imran.ahmed@polymerxs.com','01','B', '08', 'ABDUL', sysdate, '10.6.100.63', '08801100');</v>
      </c>
      <c r="U322" s="12" t="str">
        <f t="shared" si="119"/>
        <v>INSERT INTO sy_user_branches (USER_CD, BRANCH_CODE, CLASS_CODE, ENT_BY, ENT_DATE, ENT_BY_IP)</v>
      </c>
      <c r="V322" s="12" t="str">
        <f t="shared" si="192"/>
        <v>values('08801100','01', '08', 'ABDUL', sysdate, '10.6.100.63');</v>
      </c>
      <c r="W322" s="12" t="str">
        <f t="shared" si="121"/>
        <v>INSERT INTO sy_perm_list (USER_CD, OPT_CD, ACCESS_TYPE, BRANCH_CODE, CLASS_CODE, ENT_BY, ENT_DATE, ENT_BY_IP)</v>
      </c>
      <c r="X322" s="12" t="str">
        <f t="shared" si="193"/>
        <v>VALUES('08801100','ClaimComments.aspx', 'USER', '01', '08', 'ABDUL', SYSDATE, '10.6.100.63');</v>
      </c>
      <c r="Y322" s="12" t="str">
        <f t="shared" si="123"/>
        <v>INSERT INTO sy_perm_list (USER_CD, OPT_CD, ACCESS_TYPE, BRANCH_CODE, CLASS_CODE, ENT_BY, ENT_DATE, ENT_BY_IP)</v>
      </c>
      <c r="Z322" s="12" t="str">
        <f t="shared" si="194"/>
        <v>VALUES('08801100','ClaimDocs.aspx', 'USER', '01', '08', 'ABDUL', SYSDATE, '10.6.100.63');</v>
      </c>
      <c r="AA322" s="12" t="str">
        <f t="shared" si="125"/>
        <v>INSERT INTO sy_perm_list (USER_CD, OPT_CD, ACCESS_TYPE, BRANCH_CODE, CLASS_CODE, ENT_BY, ENT_DATE, ENT_BY_IP)</v>
      </c>
      <c r="AB322" s="12" t="str">
        <f t="shared" si="195"/>
        <v>VALUES('08801100','Client.aspx', 'USER', '01', '08', 'ABDUL', SYSDATE, '10.6.100.63');</v>
      </c>
      <c r="AC322" s="12" t="str">
        <f t="shared" si="127"/>
        <v>INSERT INTO sy_perm_list (USER_CD, OPT_CD, ACCESS_TYPE, BRANCH_CODE, CLASS_CODE, ENT_BY, ENT_DATE, ENT_BY_IP)</v>
      </c>
      <c r="AD322" s="12" t="str">
        <f t="shared" si="196"/>
        <v>VALUES('08801100','ClientReports.aspx', 'USER', '01', '08', 'ABDUL', SYSDATE, '10.6.100.63');</v>
      </c>
      <c r="AE322" s="12" t="str">
        <f t="shared" si="129"/>
        <v>INSERT INTO sy_perm_list (USER_CD, OPT_CD, ACCESS_TYPE, BRANCH_CODE, CLASS_CODE, ENT_BY, ENT_DATE, ENT_BY_IP)</v>
      </c>
      <c r="AF322" s="12" t="str">
        <f t="shared" si="197"/>
        <v>VALUES('08801100','ClientRequests.aspx', 'USER', '01', '08', 'ABDUL', SYSDATE, '10.6.100.63');</v>
      </c>
      <c r="AG322" s="12" t="str">
        <f t="shared" si="131"/>
        <v>INSERT INTO sy_perm_list (USER_CD, OPT_CD, ACCESS_TYPE, BRANCH_CODE, CLASS_CODE, ENT_BY, ENT_DATE, ENT_BY_IP)</v>
      </c>
      <c r="AH322" s="12" t="str">
        <f t="shared" si="198"/>
        <v>VALUES('08801100','HealthLife.aspx', 'USER', '01', '08', 'ABDUL', SYSDATE, '10.6.100.63');</v>
      </c>
      <c r="AI322" s="12" t="str">
        <f t="shared" si="133"/>
        <v>INSERT INTO sy_perm_list (USER_CD, OPT_CD, ACCESS_TYPE, BRANCH_CODE, CLASS_CODE, ENT_BY, ENT_DATE, ENT_BY_IP)</v>
      </c>
      <c r="AJ322" s="12" t="str">
        <f t="shared" si="199"/>
        <v>VALUES('08801100','IpdClaim.aspx', 'USER', '01', '08', 'ABDUL', SYSDATE, '10.6.100.63');</v>
      </c>
      <c r="AK322" s="12" t="str">
        <f t="shared" si="135"/>
        <v>INSERT INTO sy_perm_list (USER_CD, OPT_CD, ACCESS_TYPE, BRANCH_CODE, CLASS_CODE, ENT_BY, ENT_DATE, ENT_BY_IP)</v>
      </c>
      <c r="AL322" s="12" t="str">
        <f t="shared" si="200"/>
        <v>VALUES('08801100','OpdClaim.aspx', 'USER', '01', '08', 'ABDUL', SYSDATE, '10.6.100.63');</v>
      </c>
      <c r="AM322" s="12" t="str">
        <f t="shared" si="137"/>
        <v>INSERT INTO sy_perm_list (USER_CD, OPT_CD, ACCESS_TYPE, BRANCH_CODE, CLASS_CODE, ENT_BY, ENT_DATE, ENT_BY_IP)</v>
      </c>
      <c r="AN322" s="12" t="str">
        <f t="shared" si="201"/>
        <v>VALUES('08801100','RequestDetails.aspx', 'USER', '01', '08', 'ABDUL', SYSDATE, '10.6.100.63');</v>
      </c>
      <c r="AO322" s="12" t="str">
        <f t="shared" si="139"/>
        <v>INSERT INTO sy_perm_list (USER_CD, OPT_CD, ACCESS_TYPE, BRANCH_CODE, CLASS_CODE, ENT_BY, ENT_DATE, ENT_BY_IP)</v>
      </c>
      <c r="AP322" s="12" t="str">
        <f t="shared" si="202"/>
        <v>VALUES('08801100','TodaysRequest.aspx', 'USER', '01', '08', 'ABDUL', SYSDATE, '10.6.100.63');</v>
      </c>
    </row>
    <row r="323" spans="1:42" ht="78" thickBot="1" x14ac:dyDescent="0.3">
      <c r="A323" s="37"/>
      <c r="B323" s="37" t="s">
        <v>1507</v>
      </c>
      <c r="C323" s="37"/>
      <c r="D323" s="37"/>
      <c r="E323" s="37"/>
      <c r="F323" s="37"/>
      <c r="G323" s="37"/>
      <c r="H323" s="37"/>
      <c r="I323" s="37"/>
      <c r="J323" s="46" t="s">
        <v>1508</v>
      </c>
      <c r="K323" s="81" t="s">
        <v>1509</v>
      </c>
      <c r="L323" s="82" t="s">
        <v>1505</v>
      </c>
      <c r="M323" s="46" t="s">
        <v>1506</v>
      </c>
      <c r="N323" s="37"/>
      <c r="O323" s="37"/>
      <c r="P323" s="37"/>
      <c r="Q323" s="37"/>
      <c r="R323" s="37"/>
      <c r="S323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3" s="12" t="str">
        <f t="shared" si="191"/>
        <v>VALUES('08804706','Hutaib Industial Solution','Salaam@123','Y','N',sysdate,'016', 'C', 'Client', 'imran.ahmed@polymerxs.com','01','B', '08', 'ABDUL', sysdate, '10.6.100.63', '08804706');</v>
      </c>
      <c r="U323" s="12" t="str">
        <f t="shared" si="119"/>
        <v>INSERT INTO sy_user_branches (USER_CD, BRANCH_CODE, CLASS_CODE, ENT_BY, ENT_DATE, ENT_BY_IP)</v>
      </c>
      <c r="V323" s="12" t="str">
        <f t="shared" si="192"/>
        <v>values('08804706','01', '08', 'ABDUL', sysdate, '10.6.100.63');</v>
      </c>
      <c r="W323" s="12" t="str">
        <f t="shared" si="121"/>
        <v>INSERT INTO sy_perm_list (USER_CD, OPT_CD, ACCESS_TYPE, BRANCH_CODE, CLASS_CODE, ENT_BY, ENT_DATE, ENT_BY_IP)</v>
      </c>
      <c r="X323" s="12" t="str">
        <f t="shared" si="193"/>
        <v>VALUES('08804706','ClaimComments.aspx', 'USER', '01', '08', 'ABDUL', SYSDATE, '10.6.100.63');</v>
      </c>
      <c r="Y323" s="12" t="str">
        <f t="shared" si="123"/>
        <v>INSERT INTO sy_perm_list (USER_CD, OPT_CD, ACCESS_TYPE, BRANCH_CODE, CLASS_CODE, ENT_BY, ENT_DATE, ENT_BY_IP)</v>
      </c>
      <c r="Z323" s="12" t="str">
        <f t="shared" si="194"/>
        <v>VALUES('08804706','ClaimDocs.aspx', 'USER', '01', '08', 'ABDUL', SYSDATE, '10.6.100.63');</v>
      </c>
      <c r="AA323" s="12" t="str">
        <f t="shared" si="125"/>
        <v>INSERT INTO sy_perm_list (USER_CD, OPT_CD, ACCESS_TYPE, BRANCH_CODE, CLASS_CODE, ENT_BY, ENT_DATE, ENT_BY_IP)</v>
      </c>
      <c r="AB323" s="12" t="str">
        <f t="shared" si="195"/>
        <v>VALUES('08804706','Client.aspx', 'USER', '01', '08', 'ABDUL', SYSDATE, '10.6.100.63');</v>
      </c>
      <c r="AC323" s="12" t="str">
        <f t="shared" si="127"/>
        <v>INSERT INTO sy_perm_list (USER_CD, OPT_CD, ACCESS_TYPE, BRANCH_CODE, CLASS_CODE, ENT_BY, ENT_DATE, ENT_BY_IP)</v>
      </c>
      <c r="AD323" s="12" t="str">
        <f t="shared" si="196"/>
        <v>VALUES('08804706','ClientReports.aspx', 'USER', '01', '08', 'ABDUL', SYSDATE, '10.6.100.63');</v>
      </c>
      <c r="AE323" s="12" t="str">
        <f t="shared" si="129"/>
        <v>INSERT INTO sy_perm_list (USER_CD, OPT_CD, ACCESS_TYPE, BRANCH_CODE, CLASS_CODE, ENT_BY, ENT_DATE, ENT_BY_IP)</v>
      </c>
      <c r="AF323" s="12" t="str">
        <f t="shared" si="197"/>
        <v>VALUES('08804706','ClientRequests.aspx', 'USER', '01', '08', 'ABDUL', SYSDATE, '10.6.100.63');</v>
      </c>
      <c r="AG323" s="12" t="str">
        <f t="shared" si="131"/>
        <v>INSERT INTO sy_perm_list (USER_CD, OPT_CD, ACCESS_TYPE, BRANCH_CODE, CLASS_CODE, ENT_BY, ENT_DATE, ENT_BY_IP)</v>
      </c>
      <c r="AH323" s="12" t="str">
        <f t="shared" si="198"/>
        <v>VALUES('08804706','HealthLife.aspx', 'USER', '01', '08', 'ABDUL', SYSDATE, '10.6.100.63');</v>
      </c>
      <c r="AI323" s="12" t="str">
        <f t="shared" si="133"/>
        <v>INSERT INTO sy_perm_list (USER_CD, OPT_CD, ACCESS_TYPE, BRANCH_CODE, CLASS_CODE, ENT_BY, ENT_DATE, ENT_BY_IP)</v>
      </c>
      <c r="AJ323" s="12" t="str">
        <f t="shared" si="199"/>
        <v>VALUES('08804706','IpdClaim.aspx', 'USER', '01', '08', 'ABDUL', SYSDATE, '10.6.100.63');</v>
      </c>
      <c r="AK323" s="12" t="str">
        <f t="shared" si="135"/>
        <v>INSERT INTO sy_perm_list (USER_CD, OPT_CD, ACCESS_TYPE, BRANCH_CODE, CLASS_CODE, ENT_BY, ENT_DATE, ENT_BY_IP)</v>
      </c>
      <c r="AL323" s="12" t="str">
        <f t="shared" si="200"/>
        <v>VALUES('08804706','OpdClaim.aspx', 'USER', '01', '08', 'ABDUL', SYSDATE, '10.6.100.63');</v>
      </c>
      <c r="AM323" s="12" t="str">
        <f t="shared" si="137"/>
        <v>INSERT INTO sy_perm_list (USER_CD, OPT_CD, ACCESS_TYPE, BRANCH_CODE, CLASS_CODE, ENT_BY, ENT_DATE, ENT_BY_IP)</v>
      </c>
      <c r="AN323" s="12" t="str">
        <f t="shared" si="201"/>
        <v>VALUES('08804706','RequestDetails.aspx', 'USER', '01', '08', 'ABDUL', SYSDATE, '10.6.100.63');</v>
      </c>
      <c r="AO323" s="12" t="str">
        <f t="shared" si="139"/>
        <v>INSERT INTO sy_perm_list (USER_CD, OPT_CD, ACCESS_TYPE, BRANCH_CODE, CLASS_CODE, ENT_BY, ENT_DATE, ENT_BY_IP)</v>
      </c>
      <c r="AP323" s="12" t="str">
        <f t="shared" si="202"/>
        <v>VALUES('08804706','TodaysRequest.aspx', 'USER', '01', '08', 'ABDUL', SYSDATE, '10.6.100.63');</v>
      </c>
    </row>
    <row r="324" spans="1:42" ht="78" thickBot="1" x14ac:dyDescent="0.3">
      <c r="A324" s="37"/>
      <c r="B324" s="37" t="s">
        <v>1510</v>
      </c>
      <c r="C324" s="37"/>
      <c r="D324" s="37"/>
      <c r="E324" s="37"/>
      <c r="F324" s="37"/>
      <c r="G324" s="37"/>
      <c r="H324" s="37"/>
      <c r="I324" s="37"/>
      <c r="J324" s="63" t="s">
        <v>1511</v>
      </c>
      <c r="K324" s="63" t="s">
        <v>1512</v>
      </c>
      <c r="L324" s="63" t="s">
        <v>1513</v>
      </c>
      <c r="M324" s="55" t="s">
        <v>1514</v>
      </c>
      <c r="N324" s="37"/>
      <c r="O324" s="37"/>
      <c r="P324" s="37"/>
      <c r="Q324" s="37"/>
      <c r="R324" s="37"/>
      <c r="S324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4" s="12" t="str">
        <f t="shared" si="191"/>
        <v>VALUES('08806796','Team Collective DMCC','Salaam@123','Y','N',sysdate,'016', 'C', 'Client', 'Mahrukh Anwar','01','B', '08', 'ABDUL', sysdate, '10.6.100.63', '08806796');</v>
      </c>
      <c r="U324" s="12" t="str">
        <f t="shared" si="119"/>
        <v>INSERT INTO sy_user_branches (USER_CD, BRANCH_CODE, CLASS_CODE, ENT_BY, ENT_DATE, ENT_BY_IP)</v>
      </c>
      <c r="V324" s="12" t="str">
        <f t="shared" si="192"/>
        <v>values('08806796','01', '08', 'ABDUL', sysdate, '10.6.100.63');</v>
      </c>
      <c r="W324" s="12" t="str">
        <f t="shared" si="121"/>
        <v>INSERT INTO sy_perm_list (USER_CD, OPT_CD, ACCESS_TYPE, BRANCH_CODE, CLASS_CODE, ENT_BY, ENT_DATE, ENT_BY_IP)</v>
      </c>
      <c r="X324" s="12" t="str">
        <f t="shared" si="193"/>
        <v>VALUES('08806796','ClaimComments.aspx', 'USER', '01', '08', 'ABDUL', SYSDATE, '10.6.100.63');</v>
      </c>
      <c r="Y324" s="12" t="str">
        <f t="shared" si="123"/>
        <v>INSERT INTO sy_perm_list (USER_CD, OPT_CD, ACCESS_TYPE, BRANCH_CODE, CLASS_CODE, ENT_BY, ENT_DATE, ENT_BY_IP)</v>
      </c>
      <c r="Z324" s="12" t="str">
        <f t="shared" si="194"/>
        <v>VALUES('08806796','ClaimDocs.aspx', 'USER', '01', '08', 'ABDUL', SYSDATE, '10.6.100.63');</v>
      </c>
      <c r="AA324" s="12" t="str">
        <f t="shared" si="125"/>
        <v>INSERT INTO sy_perm_list (USER_CD, OPT_CD, ACCESS_TYPE, BRANCH_CODE, CLASS_CODE, ENT_BY, ENT_DATE, ENT_BY_IP)</v>
      </c>
      <c r="AB324" s="12" t="str">
        <f t="shared" si="195"/>
        <v>VALUES('08806796','Client.aspx', 'USER', '01', '08', 'ABDUL', SYSDATE, '10.6.100.63');</v>
      </c>
      <c r="AC324" s="12" t="str">
        <f t="shared" si="127"/>
        <v>INSERT INTO sy_perm_list (USER_CD, OPT_CD, ACCESS_TYPE, BRANCH_CODE, CLASS_CODE, ENT_BY, ENT_DATE, ENT_BY_IP)</v>
      </c>
      <c r="AD324" s="12" t="str">
        <f t="shared" si="196"/>
        <v>VALUES('08806796','ClientReports.aspx', 'USER', '01', '08', 'ABDUL', SYSDATE, '10.6.100.63');</v>
      </c>
      <c r="AE324" s="12" t="str">
        <f t="shared" si="129"/>
        <v>INSERT INTO sy_perm_list (USER_CD, OPT_CD, ACCESS_TYPE, BRANCH_CODE, CLASS_CODE, ENT_BY, ENT_DATE, ENT_BY_IP)</v>
      </c>
      <c r="AF324" s="12" t="str">
        <f t="shared" si="197"/>
        <v>VALUES('08806796','ClientRequests.aspx', 'USER', '01', '08', 'ABDUL', SYSDATE, '10.6.100.63');</v>
      </c>
      <c r="AG324" s="12" t="str">
        <f t="shared" si="131"/>
        <v>INSERT INTO sy_perm_list (USER_CD, OPT_CD, ACCESS_TYPE, BRANCH_CODE, CLASS_CODE, ENT_BY, ENT_DATE, ENT_BY_IP)</v>
      </c>
      <c r="AH324" s="12" t="str">
        <f t="shared" si="198"/>
        <v>VALUES('08806796','HealthLife.aspx', 'USER', '01', '08', 'ABDUL', SYSDATE, '10.6.100.63');</v>
      </c>
      <c r="AI324" s="12" t="str">
        <f t="shared" si="133"/>
        <v>INSERT INTO sy_perm_list (USER_CD, OPT_CD, ACCESS_TYPE, BRANCH_CODE, CLASS_CODE, ENT_BY, ENT_DATE, ENT_BY_IP)</v>
      </c>
      <c r="AJ324" s="12" t="str">
        <f t="shared" si="199"/>
        <v>VALUES('08806796','IpdClaim.aspx', 'USER', '01', '08', 'ABDUL', SYSDATE, '10.6.100.63');</v>
      </c>
      <c r="AK324" s="12" t="str">
        <f t="shared" si="135"/>
        <v>INSERT INTO sy_perm_list (USER_CD, OPT_CD, ACCESS_TYPE, BRANCH_CODE, CLASS_CODE, ENT_BY, ENT_DATE, ENT_BY_IP)</v>
      </c>
      <c r="AL324" s="12" t="str">
        <f t="shared" si="200"/>
        <v>VALUES('08806796','OpdClaim.aspx', 'USER', '01', '08', 'ABDUL', SYSDATE, '10.6.100.63');</v>
      </c>
      <c r="AM324" s="12" t="str">
        <f t="shared" si="137"/>
        <v>INSERT INTO sy_perm_list (USER_CD, OPT_CD, ACCESS_TYPE, BRANCH_CODE, CLASS_CODE, ENT_BY, ENT_DATE, ENT_BY_IP)</v>
      </c>
      <c r="AN324" s="12" t="str">
        <f t="shared" si="201"/>
        <v>VALUES('08806796','RequestDetails.aspx', 'USER', '01', '08', 'ABDUL', SYSDATE, '10.6.100.63');</v>
      </c>
      <c r="AO324" s="12" t="str">
        <f t="shared" si="139"/>
        <v>INSERT INTO sy_perm_list (USER_CD, OPT_CD, ACCESS_TYPE, BRANCH_CODE, CLASS_CODE, ENT_BY, ENT_DATE, ENT_BY_IP)</v>
      </c>
      <c r="AP324" s="12" t="str">
        <f t="shared" si="202"/>
        <v>VALUES('08806796','TodaysRequest.aspx', 'USER', '01', '08', 'ABDUL', SYSDATE, '10.6.100.63');</v>
      </c>
    </row>
    <row r="325" spans="1:42" ht="78" thickBot="1" x14ac:dyDescent="0.3">
      <c r="A325" s="37"/>
      <c r="B325" s="37" t="s">
        <v>1515</v>
      </c>
      <c r="C325" s="37"/>
      <c r="D325" s="37"/>
      <c r="E325" s="37"/>
      <c r="F325" s="37"/>
      <c r="G325" s="37"/>
      <c r="H325" s="37"/>
      <c r="I325" s="37"/>
      <c r="J325" s="46" t="s">
        <v>1516</v>
      </c>
      <c r="K325" s="46" t="s">
        <v>1517</v>
      </c>
      <c r="L325" s="59" t="s">
        <v>1518</v>
      </c>
      <c r="M325" s="11" t="s">
        <v>1519</v>
      </c>
      <c r="N325" s="37"/>
      <c r="O325" s="37"/>
      <c r="P325" s="37"/>
      <c r="Q325" s="37"/>
      <c r="R325" s="37"/>
      <c r="S325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5" s="12" t="str">
        <f t="shared" si="191"/>
        <v>VALUES('08806970','SUNFLOWER INDUSTRIES','Salaam@123','Y','N',sysdate,'016', 'C', 'Client', 'Muhammad Khalid','01','B', '08', 'ABDUL', sysdate, '10.6.100.63', '08806970');</v>
      </c>
      <c r="U325" s="12" t="str">
        <f t="shared" si="119"/>
        <v>INSERT INTO sy_user_branches (USER_CD, BRANCH_CODE, CLASS_CODE, ENT_BY, ENT_DATE, ENT_BY_IP)</v>
      </c>
      <c r="V325" s="12" t="str">
        <f t="shared" si="192"/>
        <v>values('08806970','01', '08', 'ABDUL', sysdate, '10.6.100.63');</v>
      </c>
      <c r="W325" s="12" t="str">
        <f t="shared" si="121"/>
        <v>INSERT INTO sy_perm_list (USER_CD, OPT_CD, ACCESS_TYPE, BRANCH_CODE, CLASS_CODE, ENT_BY, ENT_DATE, ENT_BY_IP)</v>
      </c>
      <c r="X325" s="12" t="str">
        <f t="shared" si="193"/>
        <v>VALUES('08806970','ClaimComments.aspx', 'USER', '01', '08', 'ABDUL', SYSDATE, '10.6.100.63');</v>
      </c>
      <c r="Y325" s="12" t="str">
        <f t="shared" si="123"/>
        <v>INSERT INTO sy_perm_list (USER_CD, OPT_CD, ACCESS_TYPE, BRANCH_CODE, CLASS_CODE, ENT_BY, ENT_DATE, ENT_BY_IP)</v>
      </c>
      <c r="Z325" s="12" t="str">
        <f t="shared" si="194"/>
        <v>VALUES('08806970','ClaimDocs.aspx', 'USER', '01', '08', 'ABDUL', SYSDATE, '10.6.100.63');</v>
      </c>
      <c r="AA325" s="12" t="str">
        <f t="shared" si="125"/>
        <v>INSERT INTO sy_perm_list (USER_CD, OPT_CD, ACCESS_TYPE, BRANCH_CODE, CLASS_CODE, ENT_BY, ENT_DATE, ENT_BY_IP)</v>
      </c>
      <c r="AB325" s="12" t="str">
        <f t="shared" si="195"/>
        <v>VALUES('08806970','Client.aspx', 'USER', '01', '08', 'ABDUL', SYSDATE, '10.6.100.63');</v>
      </c>
      <c r="AC325" s="12" t="str">
        <f t="shared" si="127"/>
        <v>INSERT INTO sy_perm_list (USER_CD, OPT_CD, ACCESS_TYPE, BRANCH_CODE, CLASS_CODE, ENT_BY, ENT_DATE, ENT_BY_IP)</v>
      </c>
      <c r="AD325" s="12" t="str">
        <f t="shared" si="196"/>
        <v>VALUES('08806970','ClientReports.aspx', 'USER', '01', '08', 'ABDUL', SYSDATE, '10.6.100.63');</v>
      </c>
      <c r="AE325" s="12" t="str">
        <f t="shared" si="129"/>
        <v>INSERT INTO sy_perm_list (USER_CD, OPT_CD, ACCESS_TYPE, BRANCH_CODE, CLASS_CODE, ENT_BY, ENT_DATE, ENT_BY_IP)</v>
      </c>
      <c r="AF325" s="12" t="str">
        <f t="shared" si="197"/>
        <v>VALUES('08806970','ClientRequests.aspx', 'USER', '01', '08', 'ABDUL', SYSDATE, '10.6.100.63');</v>
      </c>
      <c r="AG325" s="12" t="str">
        <f t="shared" si="131"/>
        <v>INSERT INTO sy_perm_list (USER_CD, OPT_CD, ACCESS_TYPE, BRANCH_CODE, CLASS_CODE, ENT_BY, ENT_DATE, ENT_BY_IP)</v>
      </c>
      <c r="AH325" s="12" t="str">
        <f t="shared" si="198"/>
        <v>VALUES('08806970','HealthLife.aspx', 'USER', '01', '08', 'ABDUL', SYSDATE, '10.6.100.63');</v>
      </c>
      <c r="AI325" s="12" t="str">
        <f t="shared" si="133"/>
        <v>INSERT INTO sy_perm_list (USER_CD, OPT_CD, ACCESS_TYPE, BRANCH_CODE, CLASS_CODE, ENT_BY, ENT_DATE, ENT_BY_IP)</v>
      </c>
      <c r="AJ325" s="12" t="str">
        <f t="shared" si="199"/>
        <v>VALUES('08806970','IpdClaim.aspx', 'USER', '01', '08', 'ABDUL', SYSDATE, '10.6.100.63');</v>
      </c>
      <c r="AK325" s="12" t="str">
        <f t="shared" si="135"/>
        <v>INSERT INTO sy_perm_list (USER_CD, OPT_CD, ACCESS_TYPE, BRANCH_CODE, CLASS_CODE, ENT_BY, ENT_DATE, ENT_BY_IP)</v>
      </c>
      <c r="AL325" s="12" t="str">
        <f t="shared" si="200"/>
        <v>VALUES('08806970','OpdClaim.aspx', 'USER', '01', '08', 'ABDUL', SYSDATE, '10.6.100.63');</v>
      </c>
      <c r="AM325" s="12" t="str">
        <f t="shared" si="137"/>
        <v>INSERT INTO sy_perm_list (USER_CD, OPT_CD, ACCESS_TYPE, BRANCH_CODE, CLASS_CODE, ENT_BY, ENT_DATE, ENT_BY_IP)</v>
      </c>
      <c r="AN325" s="12" t="str">
        <f t="shared" si="201"/>
        <v>VALUES('08806970','RequestDetails.aspx', 'USER', '01', '08', 'ABDUL', SYSDATE, '10.6.100.63');</v>
      </c>
      <c r="AO325" s="12" t="str">
        <f t="shared" si="139"/>
        <v>INSERT INTO sy_perm_list (USER_CD, OPT_CD, ACCESS_TYPE, BRANCH_CODE, CLASS_CODE, ENT_BY, ENT_DATE, ENT_BY_IP)</v>
      </c>
      <c r="AP325" s="12" t="str">
        <f t="shared" si="202"/>
        <v>VALUES('08806970','TodaysRequest.aspx', 'USER', '01', '08', 'ABDUL', SYSDATE, '10.6.100.63');</v>
      </c>
    </row>
    <row r="326" spans="1:42" ht="78" thickBot="1" x14ac:dyDescent="0.3">
      <c r="A326" s="37"/>
      <c r="B326" s="37" t="s">
        <v>1520</v>
      </c>
      <c r="C326" s="37"/>
      <c r="D326" s="37"/>
      <c r="E326" s="37"/>
      <c r="F326" s="37"/>
      <c r="G326" s="37"/>
      <c r="H326" s="37"/>
      <c r="I326" s="37"/>
      <c r="J326" s="51" t="s">
        <v>1521</v>
      </c>
      <c r="K326" s="51" t="s">
        <v>967</v>
      </c>
      <c r="L326" s="36" t="s">
        <v>968</v>
      </c>
      <c r="M326" s="11" t="s">
        <v>969</v>
      </c>
      <c r="N326" s="37"/>
      <c r="O326" s="37"/>
      <c r="P326" s="37"/>
      <c r="Q326" s="37"/>
      <c r="R326" s="37"/>
      <c r="S326" s="12" t="str">
        <f t="shared" si="141"/>
        <v>insert into sy_users (USER_CD, USER_NAME, USER_PASS, ACTIVE, LOCK_USER, LAST_PASS_DATE, COST_CODE, USER_CATEGORY, DESIGNATION, EMAIL, BRANCH_CODE, USER_TYPE, CLASS_CODE, ENT_BY, ENT_DATE, ENT_BY_IP,PARTTAKER_CODE)</v>
      </c>
      <c r="T326" s="12" t="str">
        <f t="shared" ref="T326" si="203">"VALUES('"&amp;B326&amp;"','"&amp;K326&amp;"','Salaam@123','Y','N',sysdate,'016', 'C', 'Client', '"&amp;L326&amp;"','01','B', '08', 'ABDUL', sysdate, '10.6.100.63', '"&amp;B326&amp;"');"</f>
        <v>VALUES('088022481','Arif Habib Limited','Salaam@123','Y','N',sysdate,'016', 'C', 'Client', 'Khurram Morris','01','B', '08', 'ABDUL', sysdate, '10.6.100.63', '088022481');</v>
      </c>
      <c r="U326" s="12" t="str">
        <f t="shared" si="119"/>
        <v>INSERT INTO sy_user_branches (USER_CD, BRANCH_CODE, CLASS_CODE, ENT_BY, ENT_DATE, ENT_BY_IP)</v>
      </c>
      <c r="V326" s="12" t="str">
        <f t="shared" ref="V326" si="204">"values('"&amp;B326&amp;"','01', '08', 'ABDUL', sysdate, '10.6.100.63');"</f>
        <v>values('088022481','01', '08', 'ABDUL', sysdate, '10.6.100.63');</v>
      </c>
      <c r="W326" s="12" t="str">
        <f t="shared" si="121"/>
        <v>INSERT INTO sy_perm_list (USER_CD, OPT_CD, ACCESS_TYPE, BRANCH_CODE, CLASS_CODE, ENT_BY, ENT_DATE, ENT_BY_IP)</v>
      </c>
      <c r="X326" s="12" t="str">
        <f t="shared" ref="X326" si="205">"VALUES('"&amp;B326&amp;"','ClaimComments.aspx', 'USER', '01', '08', 'ABDUL', SYSDATE, '10.6.100.63');"</f>
        <v>VALUES('088022481','ClaimComments.aspx', 'USER', '01', '08', 'ABDUL', SYSDATE, '10.6.100.63');</v>
      </c>
      <c r="Y326" s="12" t="str">
        <f t="shared" si="123"/>
        <v>INSERT INTO sy_perm_list (USER_CD, OPT_CD, ACCESS_TYPE, BRANCH_CODE, CLASS_CODE, ENT_BY, ENT_DATE, ENT_BY_IP)</v>
      </c>
      <c r="Z326" s="12" t="str">
        <f t="shared" ref="Z326" si="206">"VALUES('"&amp;B326&amp;"','ClaimDocs.aspx', 'USER', '01', '08', 'ABDUL', SYSDATE, '10.6.100.63');"</f>
        <v>VALUES('088022481','ClaimDocs.aspx', 'USER', '01', '08', 'ABDUL', SYSDATE, '10.6.100.63');</v>
      </c>
      <c r="AA326" s="12" t="str">
        <f t="shared" si="125"/>
        <v>INSERT INTO sy_perm_list (USER_CD, OPT_CD, ACCESS_TYPE, BRANCH_CODE, CLASS_CODE, ENT_BY, ENT_DATE, ENT_BY_IP)</v>
      </c>
      <c r="AB326" s="12" t="str">
        <f t="shared" ref="AB326" si="207">"VALUES('"&amp;B326&amp;"','Client.aspx', 'USER', '01', '08', 'ABDUL', SYSDATE, '10.6.100.63');"</f>
        <v>VALUES('088022481','Client.aspx', 'USER', '01', '08', 'ABDUL', SYSDATE, '10.6.100.63');</v>
      </c>
      <c r="AC326" s="12" t="str">
        <f t="shared" si="127"/>
        <v>INSERT INTO sy_perm_list (USER_CD, OPT_CD, ACCESS_TYPE, BRANCH_CODE, CLASS_CODE, ENT_BY, ENT_DATE, ENT_BY_IP)</v>
      </c>
      <c r="AD326" s="12" t="str">
        <f t="shared" ref="AD326" si="208">"VALUES('"&amp;B326&amp;"','ClientReports.aspx', 'USER', '01', '08', 'ABDUL', SYSDATE, '10.6.100.63');"</f>
        <v>VALUES('088022481','ClientReports.aspx', 'USER', '01', '08', 'ABDUL', SYSDATE, '10.6.100.63');</v>
      </c>
      <c r="AE326" s="12" t="str">
        <f t="shared" si="129"/>
        <v>INSERT INTO sy_perm_list (USER_CD, OPT_CD, ACCESS_TYPE, BRANCH_CODE, CLASS_CODE, ENT_BY, ENT_DATE, ENT_BY_IP)</v>
      </c>
      <c r="AF326" s="12" t="str">
        <f t="shared" ref="AF326" si="209">"VALUES('"&amp;B326&amp;"','ClientRequests.aspx', 'USER', '01', '08', 'ABDUL', SYSDATE, '10.6.100.63');"</f>
        <v>VALUES('088022481','ClientRequests.aspx', 'USER', '01', '08', 'ABDUL', SYSDATE, '10.6.100.63');</v>
      </c>
      <c r="AG326" s="12" t="str">
        <f t="shared" si="131"/>
        <v>INSERT INTO sy_perm_list (USER_CD, OPT_CD, ACCESS_TYPE, BRANCH_CODE, CLASS_CODE, ENT_BY, ENT_DATE, ENT_BY_IP)</v>
      </c>
      <c r="AH326" s="12" t="str">
        <f t="shared" ref="AH326" si="210">"VALUES('"&amp;B326&amp;"','HealthLife.aspx', 'USER', '01', '08', 'ABDUL', SYSDATE, '10.6.100.63');"</f>
        <v>VALUES('088022481','HealthLife.aspx', 'USER', '01', '08', 'ABDUL', SYSDATE, '10.6.100.63');</v>
      </c>
      <c r="AI326" s="12" t="str">
        <f t="shared" si="133"/>
        <v>INSERT INTO sy_perm_list (USER_CD, OPT_CD, ACCESS_TYPE, BRANCH_CODE, CLASS_CODE, ENT_BY, ENT_DATE, ENT_BY_IP)</v>
      </c>
      <c r="AJ326" s="12" t="str">
        <f t="shared" ref="AJ326" si="211">"VALUES('"&amp;B326&amp;"','IpdClaim.aspx', 'USER', '01', '08', 'ABDUL', SYSDATE, '10.6.100.63');"</f>
        <v>VALUES('088022481','IpdClaim.aspx', 'USER', '01', '08', 'ABDUL', SYSDATE, '10.6.100.63');</v>
      </c>
      <c r="AK326" s="12" t="str">
        <f t="shared" si="135"/>
        <v>INSERT INTO sy_perm_list (USER_CD, OPT_CD, ACCESS_TYPE, BRANCH_CODE, CLASS_CODE, ENT_BY, ENT_DATE, ENT_BY_IP)</v>
      </c>
      <c r="AL326" s="12" t="str">
        <f t="shared" ref="AL326" si="212">"VALUES('"&amp;B326&amp;"','OpdClaim.aspx', 'USER', '01', '08', 'ABDUL', SYSDATE, '10.6.100.63');"</f>
        <v>VALUES('088022481','OpdClaim.aspx', 'USER', '01', '08', 'ABDUL', SYSDATE, '10.6.100.63');</v>
      </c>
      <c r="AM326" s="12" t="str">
        <f t="shared" si="137"/>
        <v>INSERT INTO sy_perm_list (USER_CD, OPT_CD, ACCESS_TYPE, BRANCH_CODE, CLASS_CODE, ENT_BY, ENT_DATE, ENT_BY_IP)</v>
      </c>
      <c r="AN326" s="12" t="str">
        <f t="shared" ref="AN326" si="213">"VALUES('"&amp;B326&amp;"','RequestDetails.aspx', 'USER', '01', '08', 'ABDUL', SYSDATE, '10.6.100.63');"</f>
        <v>VALUES('088022481','RequestDetails.aspx', 'USER', '01', '08', 'ABDUL', SYSDATE, '10.6.100.63');</v>
      </c>
      <c r="AO326" s="12" t="str">
        <f t="shared" si="139"/>
        <v>INSERT INTO sy_perm_list (USER_CD, OPT_CD, ACCESS_TYPE, BRANCH_CODE, CLASS_CODE, ENT_BY, ENT_DATE, ENT_BY_IP)</v>
      </c>
      <c r="AP326" s="12" t="str">
        <f t="shared" ref="AP326" si="214">"VALUES('"&amp;B326&amp;"','TodaysRequest.aspx', 'USER', '01', '08', 'ABDUL', SYSDATE, '10.6.100.63');"</f>
        <v>VALUES('088022481','TodaysRequest.aspx', 'USER', '01', '08', 'ABDUL', SYSDATE, '10.6.100.63');</v>
      </c>
    </row>
    <row r="327" spans="1:42" ht="15.75" thickBot="1" x14ac:dyDescent="0.3">
      <c r="A327" s="37"/>
      <c r="B327" s="37" t="s">
        <v>857</v>
      </c>
      <c r="C327" s="37"/>
      <c r="D327" s="37"/>
      <c r="E327" s="37"/>
      <c r="F327" s="37"/>
      <c r="G327" s="37"/>
      <c r="H327" s="37"/>
      <c r="I327" s="37"/>
      <c r="J327" s="46" t="s">
        <v>1523</v>
      </c>
      <c r="K327" s="54" t="s">
        <v>1529</v>
      </c>
      <c r="L327" s="46" t="s">
        <v>1532</v>
      </c>
      <c r="M327" s="42" t="s">
        <v>1533</v>
      </c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</row>
    <row r="328" spans="1:42" ht="15.75" thickBot="1" x14ac:dyDescent="0.3">
      <c r="A328" s="37"/>
      <c r="B328" s="37" t="s">
        <v>699</v>
      </c>
      <c r="C328" s="37"/>
      <c r="D328" s="37"/>
      <c r="E328" s="37"/>
      <c r="F328" s="37"/>
      <c r="G328" s="37"/>
      <c r="H328" s="37"/>
      <c r="I328" s="37"/>
      <c r="J328" s="46" t="s">
        <v>1524</v>
      </c>
      <c r="K328" s="54" t="s">
        <v>491</v>
      </c>
      <c r="L328" s="46" t="s">
        <v>1534</v>
      </c>
      <c r="M328" s="42" t="s">
        <v>1535</v>
      </c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</row>
    <row r="329" spans="1:42" ht="15.75" thickBot="1" x14ac:dyDescent="0.3">
      <c r="A329" s="37"/>
      <c r="B329" s="37" t="s">
        <v>710</v>
      </c>
      <c r="C329" s="37"/>
      <c r="D329" s="37"/>
      <c r="E329" s="37"/>
      <c r="F329" s="37"/>
      <c r="G329" s="37"/>
      <c r="H329" s="37"/>
      <c r="I329" s="37"/>
      <c r="J329" s="46" t="s">
        <v>1525</v>
      </c>
      <c r="K329" s="54" t="s">
        <v>292</v>
      </c>
      <c r="L329" s="46" t="s">
        <v>1536</v>
      </c>
      <c r="M329" s="42" t="s">
        <v>1537</v>
      </c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</row>
    <row r="330" spans="1:42" ht="15.75" thickBot="1" x14ac:dyDescent="0.3">
      <c r="A330" s="37"/>
      <c r="B330" s="37" t="s">
        <v>660</v>
      </c>
      <c r="C330" s="37"/>
      <c r="D330" s="37"/>
      <c r="E330" s="37"/>
      <c r="F330" s="37"/>
      <c r="G330" s="37"/>
      <c r="H330" s="37"/>
      <c r="I330" s="37"/>
      <c r="J330" s="46" t="s">
        <v>1526</v>
      </c>
      <c r="K330" s="54" t="s">
        <v>450</v>
      </c>
      <c r="L330" s="46" t="s">
        <v>1538</v>
      </c>
      <c r="M330" s="42" t="s">
        <v>1539</v>
      </c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</row>
    <row r="331" spans="1:42" ht="15.75" thickBot="1" x14ac:dyDescent="0.3">
      <c r="A331" s="37"/>
      <c r="B331" s="37" t="s">
        <v>745</v>
      </c>
      <c r="C331" s="37"/>
      <c r="D331" s="37"/>
      <c r="E331" s="37"/>
      <c r="F331" s="37"/>
      <c r="G331" s="37"/>
      <c r="H331" s="37"/>
      <c r="I331" s="37"/>
      <c r="J331" s="46" t="s">
        <v>1527</v>
      </c>
      <c r="K331" s="54" t="s">
        <v>1530</v>
      </c>
      <c r="L331" s="46" t="s">
        <v>1540</v>
      </c>
      <c r="M331" s="42" t="s">
        <v>1541</v>
      </c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</row>
    <row r="332" spans="1:42" ht="15.75" thickBot="1" x14ac:dyDescent="0.3">
      <c r="A332" s="37"/>
      <c r="B332" s="37" t="s">
        <v>1522</v>
      </c>
      <c r="C332" s="37"/>
      <c r="D332" s="37"/>
      <c r="E332" s="37"/>
      <c r="F332" s="37"/>
      <c r="G332" s="37"/>
      <c r="H332" s="37"/>
      <c r="I332" s="37"/>
      <c r="J332" s="46" t="s">
        <v>1528</v>
      </c>
      <c r="K332" s="46" t="s">
        <v>1531</v>
      </c>
      <c r="L332" s="46" t="s">
        <v>1542</v>
      </c>
      <c r="M332" s="42" t="s">
        <v>1543</v>
      </c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</row>
    <row r="333" spans="1:42" ht="77.25" x14ac:dyDescent="0.25">
      <c r="A333" s="37"/>
      <c r="B333" s="85" t="s">
        <v>1544</v>
      </c>
      <c r="C333" s="37"/>
      <c r="D333" s="37"/>
      <c r="E333" s="37"/>
      <c r="F333" s="37"/>
      <c r="G333" s="37"/>
      <c r="H333" s="37"/>
      <c r="I333" s="37"/>
      <c r="J333" s="86" t="s">
        <v>1547</v>
      </c>
      <c r="K333" s="10" t="s">
        <v>1546</v>
      </c>
      <c r="L333" s="10" t="s">
        <v>1545</v>
      </c>
      <c r="M333" s="11" t="s">
        <v>1548</v>
      </c>
      <c r="N333" s="37"/>
      <c r="O333" s="37"/>
      <c r="P333" s="37"/>
      <c r="Q333" s="37"/>
      <c r="R333" s="37"/>
      <c r="S333" s="12" t="str">
        <f t="shared" ref="S333" si="215">"insert into sy_users (USER_CD, USER_NAME, USER_PASS, ACTIVE, LOCK_USER, LAST_PASS_DATE, COST_CODE, USER_CATEGORY, DESIGNATION, EMAIL, BRANCH_CODE, USER_TYPE, CLASS_CODE, ENT_BY, ENT_DATE, ENT_BY_IP,PARTTAKER_CODE)"</f>
        <v>insert into sy_users (USER_CD, USER_NAME, USER_PASS, ACTIVE, LOCK_USER, LAST_PASS_DATE, COST_CODE, USER_CATEGORY, DESIGNATION, EMAIL, BRANCH_CODE, USER_TYPE, CLASS_CODE, ENT_BY, ENT_DATE, ENT_BY_IP,PARTTAKER_CODE)</v>
      </c>
      <c r="T333" s="12" t="str">
        <f t="shared" ref="T333" si="216">"VALUES('"&amp;B333&amp;"','"&amp;K333&amp;"','Salaam@123','Y','N',sysdate,'016', 'C', 'Client', '"&amp;L333&amp;"','01','B', '08', 'ABDUL', sysdate, '10.6.100.63', '"&amp;B333&amp;"');"</f>
        <v>VALUES('08807242','Stratesfy Pvt. Ltd.','Salaam@123','Y','N',sysdate,'016', 'C', 'Client', 'Ms. Rabia','01','B', '08', 'ABDUL', sysdate, '10.6.100.63', '08807242');</v>
      </c>
      <c r="U333" s="12" t="str">
        <f t="shared" ref="U333" si="217">"INSERT INTO sy_user_branches (USER_CD, BRANCH_CODE, CLASS_CODE, ENT_BY, ENT_DATE, ENT_BY_IP)"</f>
        <v>INSERT INTO sy_user_branches (USER_CD, BRANCH_CODE, CLASS_CODE, ENT_BY, ENT_DATE, ENT_BY_IP)</v>
      </c>
      <c r="V333" s="12" t="str">
        <f t="shared" ref="V333" si="218">"values('"&amp;B333&amp;"','01', '08', 'ABDUL', sysdate, '10.6.100.63');"</f>
        <v>values('08807242','01', '08', 'ABDUL', sysdate, '10.6.100.63');</v>
      </c>
      <c r="W333" s="12" t="str">
        <f t="shared" ref="W333" si="219">"INSERT INTO sy_perm_list (USER_CD, OPT_CD, ACCESS_TYPE, BRANCH_CODE, CLASS_CODE, ENT_BY, ENT_DATE, ENT_BY_IP)"</f>
        <v>INSERT INTO sy_perm_list (USER_CD, OPT_CD, ACCESS_TYPE, BRANCH_CODE, CLASS_CODE, ENT_BY, ENT_DATE, ENT_BY_IP)</v>
      </c>
      <c r="X333" s="12" t="str">
        <f t="shared" ref="X333" si="220">"VALUES('"&amp;B333&amp;"','ClaimComments.aspx', 'USER', '01', '08', 'ABDUL', SYSDATE, '10.6.100.63');"</f>
        <v>VALUES('08807242','ClaimComments.aspx', 'USER', '01', '08', 'ABDUL', SYSDATE, '10.6.100.63');</v>
      </c>
      <c r="Y333" s="12" t="str">
        <f t="shared" ref="Y333" si="221">"INSERT INTO sy_perm_list (USER_CD, OPT_CD, ACCESS_TYPE, BRANCH_CODE, CLASS_CODE, ENT_BY, ENT_DATE, ENT_BY_IP)"</f>
        <v>INSERT INTO sy_perm_list (USER_CD, OPT_CD, ACCESS_TYPE, BRANCH_CODE, CLASS_CODE, ENT_BY, ENT_DATE, ENT_BY_IP)</v>
      </c>
      <c r="Z333" s="12" t="str">
        <f t="shared" ref="Z333" si="222">"VALUES('"&amp;B333&amp;"','ClaimDocs.aspx', 'USER', '01', '08', 'ABDUL', SYSDATE, '10.6.100.63');"</f>
        <v>VALUES('08807242','ClaimDocs.aspx', 'USER', '01', '08', 'ABDUL', SYSDATE, '10.6.100.63');</v>
      </c>
      <c r="AA333" s="12" t="str">
        <f t="shared" ref="AA333" si="223">"INSERT INTO sy_perm_list (USER_CD, OPT_CD, ACCESS_TYPE, BRANCH_CODE, CLASS_CODE, ENT_BY, ENT_DATE, ENT_BY_IP)"</f>
        <v>INSERT INTO sy_perm_list (USER_CD, OPT_CD, ACCESS_TYPE, BRANCH_CODE, CLASS_CODE, ENT_BY, ENT_DATE, ENT_BY_IP)</v>
      </c>
      <c r="AB333" s="12" t="str">
        <f t="shared" ref="AB333" si="224">"VALUES('"&amp;B333&amp;"','Client.aspx', 'USER', '01', '08', 'ABDUL', SYSDATE, '10.6.100.63');"</f>
        <v>VALUES('08807242','Client.aspx', 'USER', '01', '08', 'ABDUL', SYSDATE, '10.6.100.63');</v>
      </c>
      <c r="AC333" s="12" t="str">
        <f t="shared" ref="AC333" si="225">"INSERT INTO sy_perm_list (USER_CD, OPT_CD, ACCESS_TYPE, BRANCH_CODE, CLASS_CODE, ENT_BY, ENT_DATE, ENT_BY_IP)"</f>
        <v>INSERT INTO sy_perm_list (USER_CD, OPT_CD, ACCESS_TYPE, BRANCH_CODE, CLASS_CODE, ENT_BY, ENT_DATE, ENT_BY_IP)</v>
      </c>
      <c r="AD333" s="12" t="str">
        <f t="shared" ref="AD333" si="226">"VALUES('"&amp;B333&amp;"','ClientReports.aspx', 'USER', '01', '08', 'ABDUL', SYSDATE, '10.6.100.63');"</f>
        <v>VALUES('08807242','ClientReports.aspx', 'USER', '01', '08', 'ABDUL', SYSDATE, '10.6.100.63');</v>
      </c>
      <c r="AE333" s="12" t="str">
        <f t="shared" ref="AE333" si="227">"INSERT INTO sy_perm_list (USER_CD, OPT_CD, ACCESS_TYPE, BRANCH_CODE, CLASS_CODE, ENT_BY, ENT_DATE, ENT_BY_IP)"</f>
        <v>INSERT INTO sy_perm_list (USER_CD, OPT_CD, ACCESS_TYPE, BRANCH_CODE, CLASS_CODE, ENT_BY, ENT_DATE, ENT_BY_IP)</v>
      </c>
      <c r="AF333" s="12" t="str">
        <f t="shared" ref="AF333" si="228">"VALUES('"&amp;B333&amp;"','ClientRequests.aspx', 'USER', '01', '08', 'ABDUL', SYSDATE, '10.6.100.63');"</f>
        <v>VALUES('08807242','ClientRequests.aspx', 'USER', '01', '08', 'ABDUL', SYSDATE, '10.6.100.63');</v>
      </c>
      <c r="AG333" s="12" t="str">
        <f t="shared" ref="AG333" si="229">"INSERT INTO sy_perm_list (USER_CD, OPT_CD, ACCESS_TYPE, BRANCH_CODE, CLASS_CODE, ENT_BY, ENT_DATE, ENT_BY_IP)"</f>
        <v>INSERT INTO sy_perm_list (USER_CD, OPT_CD, ACCESS_TYPE, BRANCH_CODE, CLASS_CODE, ENT_BY, ENT_DATE, ENT_BY_IP)</v>
      </c>
      <c r="AH333" s="12" t="str">
        <f t="shared" ref="AH333" si="230">"VALUES('"&amp;B333&amp;"','HealthLife.aspx', 'USER', '01', '08', 'ABDUL', SYSDATE, '10.6.100.63');"</f>
        <v>VALUES('08807242','HealthLife.aspx', 'USER', '01', '08', 'ABDUL', SYSDATE, '10.6.100.63');</v>
      </c>
      <c r="AI333" s="12" t="str">
        <f t="shared" ref="AI333" si="231">"INSERT INTO sy_perm_list (USER_CD, OPT_CD, ACCESS_TYPE, BRANCH_CODE, CLASS_CODE, ENT_BY, ENT_DATE, ENT_BY_IP)"</f>
        <v>INSERT INTO sy_perm_list (USER_CD, OPT_CD, ACCESS_TYPE, BRANCH_CODE, CLASS_CODE, ENT_BY, ENT_DATE, ENT_BY_IP)</v>
      </c>
      <c r="AJ333" s="12" t="str">
        <f t="shared" ref="AJ333" si="232">"VALUES('"&amp;B333&amp;"','IpdClaim.aspx', 'USER', '01', '08', 'ABDUL', SYSDATE, '10.6.100.63');"</f>
        <v>VALUES('08807242','IpdClaim.aspx', 'USER', '01', '08', 'ABDUL', SYSDATE, '10.6.100.63');</v>
      </c>
      <c r="AK333" s="12" t="str">
        <f t="shared" ref="AK333" si="233">"INSERT INTO sy_perm_list (USER_CD, OPT_CD, ACCESS_TYPE, BRANCH_CODE, CLASS_CODE, ENT_BY, ENT_DATE, ENT_BY_IP)"</f>
        <v>INSERT INTO sy_perm_list (USER_CD, OPT_CD, ACCESS_TYPE, BRANCH_CODE, CLASS_CODE, ENT_BY, ENT_DATE, ENT_BY_IP)</v>
      </c>
      <c r="AL333" s="12" t="str">
        <f t="shared" ref="AL333" si="234">"VALUES('"&amp;B333&amp;"','OpdClaim.aspx', 'USER', '01', '08', 'ABDUL', SYSDATE, '10.6.100.63');"</f>
        <v>VALUES('08807242','OpdClaim.aspx', 'USER', '01', '08', 'ABDUL', SYSDATE, '10.6.100.63');</v>
      </c>
      <c r="AM333" s="12" t="str">
        <f t="shared" ref="AM333" si="235">"INSERT INTO sy_perm_list (USER_CD, OPT_CD, ACCESS_TYPE, BRANCH_CODE, CLASS_CODE, ENT_BY, ENT_DATE, ENT_BY_IP)"</f>
        <v>INSERT INTO sy_perm_list (USER_CD, OPT_CD, ACCESS_TYPE, BRANCH_CODE, CLASS_CODE, ENT_BY, ENT_DATE, ENT_BY_IP)</v>
      </c>
      <c r="AN333" s="12" t="str">
        <f t="shared" ref="AN333" si="236">"VALUES('"&amp;B333&amp;"','RequestDetails.aspx', 'USER', '01', '08', 'ABDUL', SYSDATE, '10.6.100.63');"</f>
        <v>VALUES('08807242','RequestDetails.aspx', 'USER', '01', '08', 'ABDUL', SYSDATE, '10.6.100.63');</v>
      </c>
      <c r="AO333" s="12" t="str">
        <f t="shared" ref="AO333" si="237">"INSERT INTO sy_perm_list (USER_CD, OPT_CD, ACCESS_TYPE, BRANCH_CODE, CLASS_CODE, ENT_BY, ENT_DATE, ENT_BY_IP)"</f>
        <v>INSERT INTO sy_perm_list (USER_CD, OPT_CD, ACCESS_TYPE, BRANCH_CODE, CLASS_CODE, ENT_BY, ENT_DATE, ENT_BY_IP)</v>
      </c>
      <c r="AP333" s="12" t="str">
        <f t="shared" ref="AP333" si="238">"VALUES('"&amp;B333&amp;"','TodaysRequest.aspx', 'USER', '01', '08', 'ABDUL', SYSDATE, '10.6.100.63');"</f>
        <v>VALUES('08807242','TodaysRequest.aspx', 'USER', '01', '08', 'ABDUL', SYSDATE, '10.6.100.63');</v>
      </c>
    </row>
    <row r="334" spans="1:42" ht="15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</row>
    <row r="335" spans="1:42" ht="15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</row>
    <row r="336" spans="1:42" ht="15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</row>
    <row r="337" spans="1:35" ht="15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</row>
    <row r="338" spans="1:35" ht="15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</row>
    <row r="339" spans="1:35" ht="15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</row>
    <row r="340" spans="1:35" ht="15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</row>
    <row r="341" spans="1:35" ht="15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</row>
    <row r="342" spans="1:35" ht="15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</row>
    <row r="343" spans="1:35" ht="15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</row>
    <row r="344" spans="1:35" ht="15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</row>
    <row r="345" spans="1:35" ht="15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</row>
    <row r="346" spans="1:35" ht="15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</row>
    <row r="347" spans="1:35" ht="15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</row>
    <row r="348" spans="1:35" ht="15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</row>
    <row r="349" spans="1:35" ht="15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</row>
    <row r="350" spans="1:35" ht="15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</row>
    <row r="351" spans="1:35" ht="15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</row>
    <row r="352" spans="1:35" ht="15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</row>
    <row r="353" spans="1:35" ht="15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</row>
    <row r="354" spans="1:35" ht="15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</row>
    <row r="355" spans="1:35" ht="15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</row>
    <row r="356" spans="1:35" ht="15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</row>
    <row r="357" spans="1:35" ht="15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</row>
    <row r="358" spans="1:35" ht="15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</row>
    <row r="359" spans="1:35" ht="15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</row>
    <row r="360" spans="1:35" ht="15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</row>
    <row r="361" spans="1:35" ht="15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</row>
    <row r="362" spans="1:35" ht="15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</row>
    <row r="363" spans="1:35" ht="15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</row>
    <row r="364" spans="1:35" ht="15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</row>
    <row r="365" spans="1:35" ht="15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</row>
    <row r="366" spans="1:35" ht="15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</row>
    <row r="367" spans="1:35" ht="15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</row>
    <row r="368" spans="1:35" ht="15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</row>
    <row r="369" spans="1:35" ht="15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</row>
    <row r="370" spans="1:35" ht="15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</row>
    <row r="371" spans="1:35" ht="15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</row>
    <row r="372" spans="1:35" ht="15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</row>
    <row r="373" spans="1:35" ht="15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</row>
    <row r="374" spans="1:35" ht="15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</row>
    <row r="375" spans="1:35" ht="15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</row>
    <row r="376" spans="1:35" ht="15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</row>
    <row r="377" spans="1:35" ht="15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</row>
    <row r="378" spans="1:35" ht="15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</row>
    <row r="379" spans="1:35" ht="15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</row>
    <row r="380" spans="1:35" ht="15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</row>
    <row r="381" spans="1:35" ht="15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</row>
    <row r="382" spans="1:35" ht="15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</row>
    <row r="383" spans="1:35" ht="15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</row>
    <row r="384" spans="1:35" ht="15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</row>
    <row r="385" spans="1:35" ht="15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</row>
    <row r="386" spans="1:35" ht="15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</row>
    <row r="387" spans="1:35" ht="15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</row>
    <row r="388" spans="1:35" ht="15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</row>
    <row r="389" spans="1:35" ht="15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</row>
    <row r="390" spans="1:35" ht="15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</row>
    <row r="391" spans="1:35" ht="15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</row>
    <row r="392" spans="1:35" ht="15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</row>
    <row r="393" spans="1:35" ht="15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</row>
    <row r="394" spans="1:35" ht="15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</row>
    <row r="395" spans="1:35" ht="15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</row>
    <row r="396" spans="1:35" ht="15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</row>
    <row r="397" spans="1:35" ht="15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</row>
    <row r="398" spans="1:35" ht="15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</row>
    <row r="399" spans="1:35" ht="15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</row>
    <row r="400" spans="1:35" ht="15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</row>
    <row r="401" spans="1:35" ht="15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</row>
    <row r="402" spans="1:35" ht="15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</row>
    <row r="403" spans="1:35" ht="15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</row>
    <row r="404" spans="1:35" ht="15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</row>
    <row r="405" spans="1:35" ht="15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</row>
    <row r="406" spans="1:35" ht="15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</row>
    <row r="407" spans="1:35" ht="15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</row>
    <row r="408" spans="1:35" ht="15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</row>
    <row r="409" spans="1:35" ht="15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</row>
    <row r="410" spans="1:35" ht="15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</row>
    <row r="411" spans="1:35" ht="15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</row>
    <row r="412" spans="1:35" ht="15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</row>
    <row r="413" spans="1:35" ht="15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</row>
    <row r="414" spans="1:35" ht="15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</row>
    <row r="415" spans="1:35" ht="15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</row>
    <row r="416" spans="1:35" ht="15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</row>
    <row r="417" spans="1:35" ht="15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</row>
    <row r="418" spans="1:35" ht="15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</row>
    <row r="419" spans="1:35" ht="15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</row>
    <row r="420" spans="1:35" ht="15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</row>
    <row r="421" spans="1:35" ht="15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</row>
    <row r="422" spans="1:35" ht="15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</row>
    <row r="423" spans="1:35" ht="15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</row>
    <row r="424" spans="1:35" ht="15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</row>
    <row r="425" spans="1:35" ht="15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</row>
    <row r="426" spans="1:35" ht="15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</row>
    <row r="427" spans="1:35" ht="15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</row>
    <row r="428" spans="1:35" ht="15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</row>
    <row r="429" spans="1:35" ht="15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</row>
    <row r="430" spans="1:35" ht="15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</row>
    <row r="431" spans="1:35" ht="15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</row>
    <row r="432" spans="1:35" ht="15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</row>
    <row r="433" spans="1:35" ht="15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</row>
    <row r="434" spans="1:35" ht="15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</row>
    <row r="435" spans="1:35" ht="15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</row>
    <row r="436" spans="1:35" ht="15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</row>
    <row r="437" spans="1:35" ht="15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</row>
    <row r="438" spans="1:35" ht="15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</row>
    <row r="439" spans="1:35" ht="15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</row>
    <row r="440" spans="1:35" ht="15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</row>
    <row r="441" spans="1:35" ht="15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</row>
    <row r="442" spans="1:35" ht="15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</row>
    <row r="443" spans="1:35" ht="15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</row>
    <row r="444" spans="1:35" ht="15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</row>
    <row r="445" spans="1:35" ht="15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</row>
    <row r="446" spans="1:35" ht="15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</row>
    <row r="447" spans="1:35" ht="15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</row>
    <row r="448" spans="1:35" ht="15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</row>
    <row r="449" spans="1:35" ht="15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</row>
    <row r="450" spans="1:35" ht="15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</row>
    <row r="451" spans="1:35" ht="15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</row>
    <row r="452" spans="1:35" ht="15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</row>
    <row r="453" spans="1:35" ht="15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</row>
    <row r="454" spans="1:35" ht="15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</row>
    <row r="455" spans="1:35" ht="15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</row>
    <row r="456" spans="1:35" ht="15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</row>
    <row r="457" spans="1:35" ht="15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</row>
    <row r="458" spans="1:35" ht="15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</row>
    <row r="459" spans="1:35" ht="15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</row>
    <row r="460" spans="1:35" ht="15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</row>
    <row r="461" spans="1:35" ht="15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</row>
    <row r="462" spans="1:35" ht="15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</row>
    <row r="463" spans="1:35" ht="15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</row>
    <row r="464" spans="1:35" ht="15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</row>
    <row r="465" spans="1:35" ht="15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</row>
    <row r="466" spans="1:35" ht="15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</row>
    <row r="467" spans="1:35" ht="15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</row>
    <row r="468" spans="1:35" ht="15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</row>
    <row r="469" spans="1:35" ht="15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</row>
    <row r="470" spans="1:35" ht="15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</row>
    <row r="471" spans="1:35" ht="15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</row>
    <row r="472" spans="1:35" ht="15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</row>
    <row r="473" spans="1:35" ht="15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</row>
    <row r="474" spans="1:35" ht="15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</row>
    <row r="475" spans="1:35" ht="15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</row>
    <row r="476" spans="1:35" ht="15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</row>
    <row r="477" spans="1:35" ht="15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</row>
    <row r="478" spans="1:35" ht="15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</row>
    <row r="479" spans="1:35" ht="15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</row>
    <row r="480" spans="1:35" ht="15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</row>
    <row r="481" spans="1:35" ht="15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</row>
    <row r="482" spans="1:35" ht="15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</row>
    <row r="483" spans="1:35" ht="15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</row>
    <row r="484" spans="1:35" ht="15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</row>
    <row r="485" spans="1:35" ht="15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</row>
    <row r="486" spans="1:35" ht="15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</row>
    <row r="487" spans="1:35" ht="15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</row>
    <row r="488" spans="1:35" ht="15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</row>
    <row r="489" spans="1:35" ht="15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</row>
    <row r="490" spans="1:35" ht="15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</row>
    <row r="491" spans="1:35" ht="15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</row>
    <row r="492" spans="1:35" ht="15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</row>
    <row r="493" spans="1:35" ht="15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</row>
    <row r="494" spans="1:35" ht="15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</row>
    <row r="495" spans="1:35" ht="15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</row>
    <row r="496" spans="1:35" ht="15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</row>
    <row r="497" spans="1:35" ht="15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</row>
    <row r="498" spans="1:35" ht="15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</row>
    <row r="499" spans="1:35" ht="15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</row>
    <row r="500" spans="1:35" ht="15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</row>
    <row r="501" spans="1:35" ht="15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</row>
    <row r="502" spans="1:35" ht="15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</row>
    <row r="503" spans="1:35" ht="15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</row>
    <row r="504" spans="1:35" ht="15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</row>
    <row r="505" spans="1:35" ht="15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</row>
    <row r="506" spans="1:35" ht="15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</row>
    <row r="507" spans="1:35" ht="15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</row>
    <row r="508" spans="1:35" ht="15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</row>
    <row r="509" spans="1:35" ht="15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</row>
    <row r="510" spans="1:35" ht="15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</row>
    <row r="511" spans="1:35" ht="15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</row>
    <row r="512" spans="1:35" ht="15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</row>
    <row r="513" spans="1:35" ht="15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</row>
    <row r="514" spans="1:35" ht="15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</row>
    <row r="515" spans="1:35" ht="15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</row>
    <row r="516" spans="1:35" ht="15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</row>
    <row r="517" spans="1:35" ht="15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</row>
    <row r="518" spans="1:35" ht="15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</row>
    <row r="519" spans="1:35" ht="15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</row>
    <row r="520" spans="1:35" ht="15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</row>
    <row r="521" spans="1:35" ht="15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</row>
    <row r="522" spans="1:35" ht="15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</row>
    <row r="523" spans="1:35" ht="15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</row>
    <row r="524" spans="1:35" ht="15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</row>
    <row r="525" spans="1:35" ht="15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</row>
    <row r="526" spans="1:35" ht="15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</row>
    <row r="527" spans="1:35" ht="15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</row>
    <row r="528" spans="1:35" ht="15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</row>
    <row r="529" spans="1:35" ht="15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</row>
    <row r="530" spans="1:35" ht="15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</row>
    <row r="531" spans="1:35" ht="15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</row>
    <row r="532" spans="1:35" ht="15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</row>
    <row r="533" spans="1:35" ht="15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</row>
    <row r="534" spans="1:35" ht="15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</row>
    <row r="535" spans="1:35" ht="15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</row>
    <row r="536" spans="1:35" ht="15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</row>
    <row r="537" spans="1:35" ht="15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</row>
    <row r="538" spans="1:35" ht="15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</row>
    <row r="539" spans="1:35" ht="15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</row>
    <row r="540" spans="1:35" ht="15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</row>
    <row r="541" spans="1:35" ht="15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</row>
    <row r="542" spans="1:35" ht="15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</row>
    <row r="543" spans="1:35" ht="15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</row>
    <row r="544" spans="1:35" ht="15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</row>
    <row r="545" spans="1:35" ht="15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</row>
    <row r="546" spans="1:35" ht="15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</row>
    <row r="547" spans="1:35" ht="15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</row>
    <row r="548" spans="1:35" ht="15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</row>
    <row r="549" spans="1:35" ht="15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</row>
    <row r="550" spans="1:35" ht="15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</row>
    <row r="551" spans="1:35" ht="15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</row>
    <row r="552" spans="1:35" ht="15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</row>
    <row r="553" spans="1:35" ht="15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</row>
    <row r="554" spans="1:35" ht="15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</row>
    <row r="555" spans="1:35" ht="15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</row>
    <row r="556" spans="1:35" ht="15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</row>
    <row r="557" spans="1:35" ht="15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</row>
    <row r="558" spans="1:35" ht="15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</row>
    <row r="559" spans="1:35" ht="15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</row>
    <row r="560" spans="1:35" ht="15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</row>
    <row r="561" spans="1:35" ht="15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</row>
    <row r="562" spans="1:35" ht="15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</row>
    <row r="563" spans="1:35" ht="15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</row>
    <row r="564" spans="1:35" ht="15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</row>
    <row r="565" spans="1:35" ht="15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</row>
    <row r="566" spans="1:35" ht="15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</row>
    <row r="567" spans="1:35" ht="15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</row>
    <row r="568" spans="1:35" ht="15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</row>
    <row r="569" spans="1:35" ht="15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</row>
    <row r="570" spans="1:35" ht="15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</row>
    <row r="571" spans="1:35" ht="15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</row>
    <row r="572" spans="1:35" ht="15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</row>
    <row r="573" spans="1:35" ht="15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</row>
    <row r="574" spans="1:35" ht="15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</row>
    <row r="575" spans="1:35" ht="15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</row>
    <row r="576" spans="1:35" ht="15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</row>
    <row r="577" spans="1:35" ht="15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</row>
    <row r="578" spans="1:35" ht="15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</row>
    <row r="579" spans="1:35" ht="15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</row>
    <row r="580" spans="1:35" ht="15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</row>
    <row r="581" spans="1:35" ht="15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</row>
    <row r="582" spans="1:35" ht="15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</row>
    <row r="583" spans="1:35" ht="15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</row>
    <row r="584" spans="1:35" ht="15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</row>
    <row r="585" spans="1:35" ht="15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</row>
    <row r="586" spans="1:35" ht="15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</row>
    <row r="587" spans="1:35" ht="15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</row>
    <row r="588" spans="1:35" ht="15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</row>
    <row r="589" spans="1:35" ht="15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</row>
    <row r="590" spans="1:35" ht="15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</row>
    <row r="591" spans="1:35" ht="15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</row>
    <row r="592" spans="1:35" ht="15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</row>
    <row r="593" spans="1:35" ht="15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</row>
    <row r="594" spans="1:35" ht="15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</row>
    <row r="595" spans="1:35" ht="15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</row>
    <row r="596" spans="1:35" ht="15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</row>
    <row r="597" spans="1:35" ht="15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</row>
    <row r="598" spans="1:35" ht="15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</row>
    <row r="599" spans="1:35" ht="15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</row>
    <row r="600" spans="1:35" ht="15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</row>
    <row r="601" spans="1:35" ht="15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</row>
    <row r="602" spans="1:35" ht="15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</row>
    <row r="603" spans="1:35" ht="15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</row>
    <row r="604" spans="1:35" ht="15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</row>
    <row r="605" spans="1:35" ht="15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</row>
    <row r="606" spans="1:35" ht="15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</row>
    <row r="607" spans="1:35" ht="15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</row>
    <row r="608" spans="1:35" ht="15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</row>
    <row r="609" spans="1:35" ht="15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</row>
    <row r="610" spans="1:35" ht="15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</row>
    <row r="611" spans="1:35" ht="15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</row>
    <row r="612" spans="1:35" ht="15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</row>
    <row r="613" spans="1:35" ht="15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</row>
    <row r="614" spans="1:35" ht="15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</row>
    <row r="615" spans="1:35" ht="15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</row>
    <row r="616" spans="1:35" ht="15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</row>
    <row r="617" spans="1:35" ht="15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</row>
    <row r="618" spans="1:35" ht="15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</row>
    <row r="619" spans="1:35" ht="15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</row>
    <row r="620" spans="1:35" ht="15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</row>
    <row r="621" spans="1:35" ht="15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</row>
    <row r="622" spans="1:35" ht="15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</row>
    <row r="623" spans="1:35" ht="15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</row>
    <row r="624" spans="1:35" ht="15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</row>
    <row r="625" spans="1:35" ht="15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</row>
    <row r="626" spans="1:35" ht="15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</row>
    <row r="627" spans="1:35" ht="15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</row>
    <row r="628" spans="1:35" ht="15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</row>
    <row r="629" spans="1:35" ht="15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</row>
    <row r="630" spans="1:35" ht="15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</row>
    <row r="631" spans="1:35" ht="15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</row>
    <row r="632" spans="1:35" ht="15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</row>
    <row r="633" spans="1:35" ht="15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</row>
    <row r="634" spans="1:35" ht="15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</row>
    <row r="635" spans="1:35" ht="15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</row>
    <row r="636" spans="1:35" ht="15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</row>
    <row r="637" spans="1:35" ht="15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</row>
    <row r="638" spans="1:35" ht="15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</row>
    <row r="639" spans="1:35" ht="15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</row>
    <row r="640" spans="1:35" ht="15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</row>
    <row r="641" spans="1:35" ht="15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</row>
    <row r="642" spans="1:35" ht="15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</row>
    <row r="643" spans="1:35" ht="15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</row>
    <row r="644" spans="1:35" ht="15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</row>
    <row r="645" spans="1:35" ht="15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</row>
    <row r="646" spans="1:35" ht="15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</row>
    <row r="647" spans="1:35" ht="15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</row>
    <row r="648" spans="1:35" ht="15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</row>
    <row r="649" spans="1:35" ht="15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</row>
    <row r="650" spans="1:35" ht="15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</row>
    <row r="651" spans="1:35" ht="15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</row>
    <row r="652" spans="1:35" ht="15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</row>
    <row r="653" spans="1:35" ht="15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</row>
    <row r="654" spans="1:35" ht="15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</row>
    <row r="655" spans="1:35" ht="15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</row>
    <row r="656" spans="1:35" ht="15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</row>
    <row r="657" spans="1:35" ht="15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</row>
    <row r="658" spans="1:35" ht="15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</row>
    <row r="659" spans="1:35" ht="15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</row>
    <row r="660" spans="1:35" ht="15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</row>
    <row r="661" spans="1:35" ht="15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</row>
    <row r="662" spans="1:35" ht="15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</row>
    <row r="663" spans="1:35" ht="15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</row>
    <row r="664" spans="1:35" ht="15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</row>
    <row r="665" spans="1:35" ht="15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</row>
    <row r="666" spans="1:35" ht="15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</row>
    <row r="667" spans="1:35" ht="15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</row>
    <row r="668" spans="1:35" ht="15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</row>
    <row r="669" spans="1:35" ht="15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</row>
    <row r="670" spans="1:35" ht="15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</row>
    <row r="671" spans="1:35" ht="15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</row>
    <row r="672" spans="1:35" ht="15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</row>
    <row r="673" spans="1:35" ht="15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</row>
    <row r="674" spans="1:35" ht="15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</row>
    <row r="675" spans="1:35" ht="15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</row>
    <row r="676" spans="1:35" ht="15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</row>
    <row r="677" spans="1:35" ht="15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</row>
    <row r="678" spans="1:35" ht="15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</row>
    <row r="679" spans="1:35" ht="15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</row>
    <row r="680" spans="1:35" ht="15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</row>
    <row r="681" spans="1:35" ht="15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</row>
    <row r="682" spans="1:35" ht="15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</row>
    <row r="683" spans="1:35" ht="15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</row>
    <row r="684" spans="1:35" ht="15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</row>
    <row r="685" spans="1:35" ht="15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</row>
    <row r="686" spans="1:35" ht="15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</row>
    <row r="687" spans="1:35" ht="15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</row>
    <row r="688" spans="1:35" ht="15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</row>
    <row r="689" spans="1:35" ht="15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</row>
    <row r="690" spans="1:35" ht="15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</row>
    <row r="691" spans="1:35" ht="15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</row>
    <row r="692" spans="1:35" ht="15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</row>
    <row r="693" spans="1:35" ht="15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</row>
    <row r="694" spans="1:35" ht="15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</row>
    <row r="695" spans="1:35" ht="15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</row>
    <row r="696" spans="1:35" ht="15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</row>
    <row r="697" spans="1:35" ht="15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</row>
    <row r="698" spans="1:35" ht="15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</row>
    <row r="699" spans="1:35" ht="15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</row>
    <row r="700" spans="1:35" ht="15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</row>
    <row r="701" spans="1:35" ht="15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</row>
    <row r="702" spans="1:35" ht="15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</row>
    <row r="703" spans="1:35" ht="15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</row>
    <row r="704" spans="1:35" ht="15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</row>
    <row r="705" spans="1:35" ht="15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</row>
    <row r="706" spans="1:35" ht="15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</row>
    <row r="707" spans="1:35" ht="15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</row>
    <row r="708" spans="1:35" ht="15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</row>
    <row r="709" spans="1:35" ht="15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</row>
    <row r="710" spans="1:35" ht="15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</row>
    <row r="711" spans="1:35" ht="15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</row>
    <row r="712" spans="1:35" ht="15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</row>
    <row r="713" spans="1:35" ht="15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</row>
    <row r="714" spans="1:35" ht="15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</row>
    <row r="715" spans="1:35" ht="15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</row>
    <row r="716" spans="1:35" ht="15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</row>
    <row r="717" spans="1:35" ht="15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</row>
    <row r="718" spans="1:35" ht="15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</row>
    <row r="719" spans="1:35" ht="15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</row>
    <row r="720" spans="1:35" ht="15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</row>
    <row r="721" spans="1:35" ht="15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</row>
    <row r="722" spans="1:35" ht="15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</row>
    <row r="723" spans="1:35" ht="15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</row>
    <row r="724" spans="1:35" ht="15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</row>
    <row r="725" spans="1:35" ht="15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</row>
    <row r="726" spans="1:35" ht="15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</row>
    <row r="727" spans="1:35" ht="15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</row>
    <row r="728" spans="1:35" ht="15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</row>
    <row r="729" spans="1:35" ht="15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</row>
    <row r="730" spans="1:35" ht="15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</row>
    <row r="731" spans="1:35" ht="15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</row>
    <row r="732" spans="1:35" ht="15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</row>
    <row r="733" spans="1:35" ht="15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</row>
    <row r="734" spans="1:35" ht="15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</row>
    <row r="735" spans="1:35" ht="15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</row>
    <row r="736" spans="1:35" ht="15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</row>
    <row r="737" spans="1:35" ht="15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</row>
    <row r="738" spans="1:35" ht="15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</row>
    <row r="739" spans="1:35" ht="15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</row>
    <row r="740" spans="1:35" ht="15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</row>
    <row r="741" spans="1:35" ht="15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</row>
    <row r="742" spans="1:35" ht="15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</row>
    <row r="743" spans="1:35" ht="15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</row>
    <row r="744" spans="1:35" ht="15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</row>
    <row r="745" spans="1:35" ht="15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</row>
    <row r="746" spans="1:35" ht="15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</row>
    <row r="747" spans="1:35" ht="15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</row>
    <row r="748" spans="1:35" ht="15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</row>
    <row r="749" spans="1:35" ht="15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</row>
    <row r="750" spans="1:35" ht="15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</row>
    <row r="751" spans="1:35" ht="15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</row>
    <row r="752" spans="1:35" ht="15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</row>
    <row r="753" spans="1:35" ht="15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</row>
    <row r="754" spans="1:35" ht="15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</row>
    <row r="755" spans="1:35" ht="15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</row>
    <row r="756" spans="1:35" ht="15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</row>
    <row r="757" spans="1:35" ht="15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</row>
    <row r="758" spans="1:35" ht="15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</row>
    <row r="759" spans="1:35" ht="15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</row>
    <row r="760" spans="1:35" ht="15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</row>
    <row r="761" spans="1:35" ht="15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</row>
    <row r="762" spans="1:35" ht="15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</row>
    <row r="763" spans="1:35" ht="15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</row>
    <row r="764" spans="1:35" ht="15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</row>
    <row r="765" spans="1:35" ht="15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</row>
    <row r="766" spans="1:35" ht="15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</row>
    <row r="767" spans="1:35" ht="15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</row>
    <row r="768" spans="1:35" ht="15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</row>
    <row r="769" spans="1:35" ht="15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</row>
    <row r="770" spans="1:35" ht="15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</row>
    <row r="771" spans="1:35" ht="15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</row>
    <row r="772" spans="1:35" ht="15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</row>
    <row r="773" spans="1:35" ht="15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</row>
    <row r="774" spans="1:35" ht="15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</row>
    <row r="775" spans="1:35" ht="15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</row>
    <row r="776" spans="1:35" ht="15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</row>
    <row r="777" spans="1:35" ht="15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</row>
    <row r="778" spans="1:35" ht="15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</row>
    <row r="779" spans="1:35" ht="15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</row>
    <row r="780" spans="1:35" ht="15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</row>
    <row r="781" spans="1:35" ht="15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</row>
    <row r="782" spans="1:35" ht="15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</row>
    <row r="783" spans="1:35" ht="15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</row>
    <row r="784" spans="1:35" ht="15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</row>
    <row r="785" spans="1:35" ht="15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</row>
    <row r="786" spans="1:35" ht="15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</row>
    <row r="787" spans="1:35" ht="15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</row>
    <row r="788" spans="1:35" ht="15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</row>
    <row r="789" spans="1:35" ht="15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</row>
    <row r="790" spans="1:35" ht="15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</row>
    <row r="791" spans="1:35" ht="15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</row>
    <row r="792" spans="1:35" ht="15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</row>
    <row r="793" spans="1:35" ht="15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</row>
    <row r="794" spans="1:35" ht="15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</row>
    <row r="795" spans="1:35" ht="15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</row>
    <row r="796" spans="1:35" ht="15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</row>
    <row r="797" spans="1:35" ht="15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</row>
    <row r="798" spans="1:35" ht="15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</row>
    <row r="799" spans="1:35" ht="15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</row>
    <row r="800" spans="1:35" ht="15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</row>
    <row r="801" spans="1:35" ht="15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</row>
    <row r="802" spans="1:35" ht="15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</row>
    <row r="803" spans="1:35" ht="15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</row>
    <row r="804" spans="1:35" ht="15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</row>
    <row r="805" spans="1:35" ht="15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</row>
    <row r="806" spans="1:35" ht="15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</row>
    <row r="807" spans="1:35" ht="15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</row>
    <row r="808" spans="1:35" ht="15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</row>
    <row r="809" spans="1:35" ht="15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</row>
    <row r="810" spans="1:35" ht="15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</row>
    <row r="811" spans="1:35" ht="15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</row>
    <row r="812" spans="1:35" ht="15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</row>
    <row r="813" spans="1:35" ht="15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</row>
    <row r="814" spans="1:35" ht="15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</row>
    <row r="815" spans="1:35" ht="15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</row>
    <row r="816" spans="1:35" ht="15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</row>
    <row r="817" spans="1:35" ht="15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</row>
    <row r="818" spans="1:35" ht="15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</row>
    <row r="819" spans="1:35" ht="15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</row>
    <row r="820" spans="1:35" ht="15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</row>
    <row r="821" spans="1:35" ht="15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</row>
    <row r="822" spans="1:35" ht="15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</row>
    <row r="823" spans="1:35" ht="15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</row>
    <row r="824" spans="1:35" ht="15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</row>
    <row r="825" spans="1:35" ht="15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</row>
    <row r="826" spans="1:35" ht="15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</row>
    <row r="827" spans="1:35" ht="15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</row>
    <row r="828" spans="1:35" ht="15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</row>
    <row r="829" spans="1:35" ht="15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</row>
    <row r="830" spans="1:35" ht="15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</row>
    <row r="831" spans="1:35" ht="15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</row>
    <row r="832" spans="1:35" ht="15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</row>
    <row r="833" spans="1:35" ht="15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</row>
    <row r="834" spans="1:35" ht="15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</row>
    <row r="835" spans="1:35" ht="15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</row>
    <row r="836" spans="1:35" ht="15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</row>
    <row r="837" spans="1:35" ht="15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</row>
    <row r="838" spans="1:35" ht="15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</row>
    <row r="839" spans="1:35" ht="15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</row>
    <row r="840" spans="1:35" ht="15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</row>
    <row r="841" spans="1:35" ht="15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</row>
    <row r="842" spans="1:35" ht="15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</row>
    <row r="843" spans="1:35" ht="15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</row>
    <row r="844" spans="1:35" ht="15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</row>
    <row r="845" spans="1:35" ht="15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</row>
    <row r="846" spans="1:35" ht="15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</row>
    <row r="847" spans="1:35" ht="15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</row>
    <row r="848" spans="1:35" ht="15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</row>
    <row r="849" spans="1:35" ht="15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</row>
    <row r="850" spans="1:35" ht="15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</row>
    <row r="851" spans="1:35" ht="15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</row>
    <row r="852" spans="1:35" ht="15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</row>
    <row r="853" spans="1:35" ht="15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</row>
    <row r="854" spans="1:35" ht="15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</row>
    <row r="855" spans="1:35" ht="15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</row>
    <row r="856" spans="1:35" ht="15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</row>
    <row r="857" spans="1:35" ht="15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</row>
    <row r="858" spans="1:35" ht="15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</row>
    <row r="859" spans="1:35" ht="15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</row>
    <row r="860" spans="1:35" ht="15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</row>
    <row r="861" spans="1:35" ht="15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</row>
    <row r="862" spans="1:35" ht="15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</row>
    <row r="863" spans="1:35" ht="15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</row>
    <row r="864" spans="1:35" ht="15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</row>
    <row r="865" spans="1:35" ht="15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</row>
    <row r="866" spans="1:35" ht="15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</row>
    <row r="867" spans="1:35" ht="15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</row>
    <row r="868" spans="1:35" ht="15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</row>
    <row r="869" spans="1:35" ht="15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</row>
    <row r="870" spans="1:35" ht="15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</row>
    <row r="871" spans="1:35" ht="15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</row>
    <row r="872" spans="1:35" ht="15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</row>
    <row r="873" spans="1:35" ht="15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</row>
    <row r="874" spans="1:35" ht="15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</row>
    <row r="875" spans="1:35" ht="15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</row>
    <row r="876" spans="1:35" ht="15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</row>
    <row r="877" spans="1:35" ht="15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</row>
    <row r="878" spans="1:35" ht="15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</row>
    <row r="879" spans="1:35" ht="15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</row>
    <row r="880" spans="1:35" ht="15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</row>
    <row r="881" spans="1:35" ht="15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</row>
    <row r="882" spans="1:35" ht="15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</row>
    <row r="883" spans="1:35" ht="15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</row>
    <row r="884" spans="1:35" ht="15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</row>
    <row r="885" spans="1:35" ht="15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</row>
    <row r="886" spans="1:35" ht="15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</row>
    <row r="887" spans="1:35" ht="15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</row>
    <row r="888" spans="1:35" ht="15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</row>
    <row r="889" spans="1:35" ht="15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</row>
    <row r="890" spans="1:35" ht="15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</row>
    <row r="891" spans="1:35" ht="15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</row>
    <row r="892" spans="1:35" ht="15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</row>
    <row r="893" spans="1:35" ht="15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</row>
    <row r="894" spans="1:35" ht="15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</row>
    <row r="895" spans="1:35" ht="15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</row>
    <row r="896" spans="1:35" ht="15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</row>
    <row r="897" spans="1:35" ht="15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</row>
    <row r="898" spans="1:35" ht="15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</row>
    <row r="899" spans="1:35" ht="15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</row>
    <row r="900" spans="1:35" ht="15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</row>
    <row r="901" spans="1:35" ht="15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</row>
    <row r="902" spans="1:35" ht="15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</row>
    <row r="903" spans="1:35" ht="15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</row>
    <row r="904" spans="1:35" ht="15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</row>
    <row r="905" spans="1:35" ht="15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</row>
    <row r="906" spans="1:35" ht="15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</row>
    <row r="907" spans="1:35" ht="15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</row>
    <row r="908" spans="1:35" ht="15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</row>
    <row r="909" spans="1:35" ht="15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</row>
    <row r="910" spans="1:35" ht="15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</row>
    <row r="911" spans="1:35" ht="15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</row>
    <row r="912" spans="1:35" ht="15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</row>
    <row r="913" spans="1:35" ht="15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</row>
    <row r="914" spans="1:35" ht="15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</row>
    <row r="915" spans="1:35" ht="15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</row>
    <row r="916" spans="1:35" ht="15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</row>
    <row r="917" spans="1:35" ht="15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</row>
    <row r="918" spans="1:35" ht="15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</row>
    <row r="919" spans="1:35" ht="15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</row>
    <row r="920" spans="1:35" ht="15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</row>
    <row r="921" spans="1:35" ht="15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</row>
    <row r="922" spans="1:35" ht="15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</row>
    <row r="923" spans="1:35" ht="15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</row>
    <row r="924" spans="1:35" ht="15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</row>
    <row r="925" spans="1:35" ht="15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</row>
    <row r="926" spans="1:35" ht="15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</row>
    <row r="927" spans="1:35" ht="15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</row>
    <row r="928" spans="1:35" ht="15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</row>
    <row r="929" spans="1:35" ht="15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</row>
    <row r="930" spans="1:35" ht="15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</row>
    <row r="931" spans="1:35" ht="15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</row>
    <row r="932" spans="1:35" ht="15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</row>
    <row r="933" spans="1:35" ht="15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</row>
    <row r="934" spans="1:35" ht="15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</row>
    <row r="935" spans="1:35" ht="15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</row>
    <row r="936" spans="1:35" ht="15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</row>
    <row r="937" spans="1:35" ht="15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</row>
    <row r="938" spans="1:35" ht="15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</row>
    <row r="939" spans="1:35" ht="15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</row>
    <row r="940" spans="1:35" ht="15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</row>
    <row r="941" spans="1:35" ht="15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</row>
    <row r="942" spans="1:35" ht="15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</row>
    <row r="943" spans="1:35" ht="15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</row>
    <row r="944" spans="1:35" ht="15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</row>
    <row r="945" spans="1:35" ht="15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</row>
    <row r="946" spans="1:35" ht="15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</row>
    <row r="947" spans="1:35" ht="15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</row>
    <row r="948" spans="1:35" ht="15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</row>
    <row r="949" spans="1:35" ht="15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</row>
    <row r="950" spans="1:35" ht="15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</row>
    <row r="951" spans="1:35" ht="15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</row>
    <row r="952" spans="1:35" ht="15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</row>
    <row r="953" spans="1:35" ht="15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</row>
    <row r="954" spans="1:35" ht="15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</row>
    <row r="955" spans="1:35" ht="15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</row>
    <row r="956" spans="1:35" ht="15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</row>
    <row r="957" spans="1:35" ht="15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</row>
    <row r="958" spans="1:35" ht="15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</row>
    <row r="959" spans="1:35" ht="15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</row>
    <row r="960" spans="1:35" ht="15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</row>
    <row r="961" spans="1:35" ht="15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</row>
    <row r="962" spans="1:35" ht="15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</row>
    <row r="963" spans="1:35" ht="15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</row>
    <row r="964" spans="1:35" ht="15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</row>
    <row r="965" spans="1:35" ht="15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</row>
    <row r="966" spans="1:35" ht="15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</row>
    <row r="967" spans="1:35" ht="15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</row>
    <row r="968" spans="1:35" ht="15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</row>
    <row r="969" spans="1:35" ht="15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</row>
    <row r="970" spans="1:35" ht="15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</row>
    <row r="971" spans="1:35" ht="15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</row>
    <row r="972" spans="1:35" ht="15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</row>
    <row r="973" spans="1:35" ht="15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</row>
    <row r="974" spans="1:35" ht="15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</row>
    <row r="975" spans="1:35" ht="15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</row>
    <row r="976" spans="1:35" ht="15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</row>
    <row r="977" spans="1:35" ht="15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</row>
    <row r="978" spans="1:35" ht="15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</row>
    <row r="979" spans="1:35" ht="15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</row>
    <row r="980" spans="1:35" ht="15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</row>
    <row r="981" spans="1:35" ht="15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</row>
    <row r="982" spans="1:35" ht="15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</row>
    <row r="983" spans="1:35" ht="15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</row>
    <row r="984" spans="1:35" ht="15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</row>
    <row r="985" spans="1:35" ht="15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</row>
    <row r="986" spans="1:35" ht="15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</row>
    <row r="987" spans="1:35" ht="15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</row>
    <row r="988" spans="1:35" ht="15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</row>
    <row r="989" spans="1:35" ht="15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</row>
    <row r="990" spans="1:35" ht="15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</row>
    <row r="991" spans="1:35" ht="15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</row>
    <row r="992" spans="1:35" ht="15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</row>
    <row r="993" spans="1:35" ht="15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</row>
    <row r="994" spans="1:35" ht="15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</row>
    <row r="995" spans="1:35" ht="15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</row>
    <row r="996" spans="1:35" ht="15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</row>
    <row r="997" spans="1:35" ht="15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</row>
    <row r="998" spans="1:35" ht="15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</row>
    <row r="999" spans="1:35" ht="15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</row>
    <row r="1000" spans="1:35" ht="15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</row>
    <row r="1001" spans="1:35" ht="15" x14ac:dyDescent="0.25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</row>
    <row r="1002" spans="1:35" ht="15" x14ac:dyDescent="0.25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</row>
    <row r="1003" spans="1:35" ht="15" x14ac:dyDescent="0.25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</row>
    <row r="1004" spans="1:35" ht="15" x14ac:dyDescent="0.25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</row>
    <row r="1005" spans="1:35" ht="15" x14ac:dyDescent="0.25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</row>
    <row r="1006" spans="1:35" ht="15" x14ac:dyDescent="0.25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</row>
    <row r="1007" spans="1:35" ht="15" x14ac:dyDescent="0.25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</row>
    <row r="1008" spans="1:35" ht="15" x14ac:dyDescent="0.25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</row>
    <row r="1009" spans="1:35" ht="15" x14ac:dyDescent="0.25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</row>
    <row r="1010" spans="1:35" ht="15" x14ac:dyDescent="0.25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</row>
    <row r="1011" spans="1:35" ht="15" x14ac:dyDescent="0.25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</row>
    <row r="1012" spans="1:35" ht="15" x14ac:dyDescent="0.25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</row>
    <row r="1013" spans="1:35" ht="15" x14ac:dyDescent="0.25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</row>
    <row r="1014" spans="1:35" ht="15" x14ac:dyDescent="0.25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</row>
    <row r="1015" spans="1:35" ht="15" x14ac:dyDescent="0.25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</row>
    <row r="1016" spans="1:35" ht="15" x14ac:dyDescent="0.25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</row>
    <row r="1017" spans="1:35" ht="15" x14ac:dyDescent="0.25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</row>
    <row r="1018" spans="1:35" ht="15" x14ac:dyDescent="0.25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</row>
    <row r="1019" spans="1:35" ht="15" x14ac:dyDescent="0.25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</row>
    <row r="1020" spans="1:35" ht="15" x14ac:dyDescent="0.25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</row>
    <row r="1021" spans="1:35" ht="15" x14ac:dyDescent="0.25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</row>
    <row r="1022" spans="1:35" ht="15" x14ac:dyDescent="0.25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</row>
    <row r="1023" spans="1:35" ht="15" x14ac:dyDescent="0.25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</row>
  </sheetData>
  <mergeCells count="3">
    <mergeCell ref="S1:T1"/>
    <mergeCell ref="U1:V1"/>
    <mergeCell ref="W1:AP1"/>
  </mergeCells>
  <conditionalFormatting sqref="I2:I42 I73:I74 I53:I54 I90:I96 I76:I88 I44:I49 I174:I178 I98:I172 I57:I71">
    <cfRule type="containsText" dxfId="37" priority="38" operator="containsText" text="/">
      <formula>NOT(ISERROR(SEARCH("/",I2)))</formula>
    </cfRule>
  </conditionalFormatting>
  <conditionalFormatting sqref="B180">
    <cfRule type="duplicateValues" dxfId="36" priority="36"/>
    <cfRule type="duplicateValues" dxfId="35" priority="37"/>
  </conditionalFormatting>
  <conditionalFormatting sqref="B181">
    <cfRule type="duplicateValues" dxfId="34" priority="34"/>
    <cfRule type="duplicateValues" dxfId="33" priority="35"/>
  </conditionalFormatting>
  <conditionalFormatting sqref="B174:B178 B73:B74 B42 B22:B24 B53:B54 B90:B96 B26:B40 B76:B88 B98:B128 B44:B49 B130:B172 B2:B20 B57:B71">
    <cfRule type="duplicateValues" dxfId="32" priority="43"/>
    <cfRule type="duplicateValues" dxfId="31" priority="44"/>
  </conditionalFormatting>
  <conditionalFormatting sqref="I72">
    <cfRule type="containsText" dxfId="30" priority="31" operator="containsText" text="/">
      <formula>NOT(ISERROR(SEARCH("/",I72)))</formula>
    </cfRule>
  </conditionalFormatting>
  <conditionalFormatting sqref="B72">
    <cfRule type="duplicateValues" dxfId="29" priority="32"/>
    <cfRule type="duplicateValues" dxfId="28" priority="33"/>
  </conditionalFormatting>
  <conditionalFormatting sqref="I97">
    <cfRule type="containsText" dxfId="27" priority="28" operator="containsText" text="/">
      <formula>NOT(ISERROR(SEARCH("/",I97)))</formula>
    </cfRule>
  </conditionalFormatting>
  <conditionalFormatting sqref="B97">
    <cfRule type="duplicateValues" dxfId="26" priority="29"/>
    <cfRule type="duplicateValues" dxfId="25" priority="30"/>
  </conditionalFormatting>
  <conditionalFormatting sqref="I55:I56">
    <cfRule type="containsText" dxfId="24" priority="25" operator="containsText" text="/">
      <formula>NOT(ISERROR(SEARCH("/",I55)))</formula>
    </cfRule>
  </conditionalFormatting>
  <conditionalFormatting sqref="B55:B56">
    <cfRule type="duplicateValues" dxfId="23" priority="26"/>
    <cfRule type="duplicateValues" dxfId="22" priority="27"/>
  </conditionalFormatting>
  <conditionalFormatting sqref="B41">
    <cfRule type="duplicateValues" dxfId="21" priority="23"/>
    <cfRule type="duplicateValues" dxfId="20" priority="24"/>
  </conditionalFormatting>
  <conditionalFormatting sqref="B21">
    <cfRule type="duplicateValues" dxfId="19" priority="21"/>
    <cfRule type="duplicateValues" dxfId="18" priority="22"/>
  </conditionalFormatting>
  <conditionalFormatting sqref="B50:B52">
    <cfRule type="duplicateValues" dxfId="17" priority="19"/>
    <cfRule type="duplicateValues" dxfId="16" priority="20"/>
  </conditionalFormatting>
  <conditionalFormatting sqref="I50:I52">
    <cfRule type="containsText" dxfId="15" priority="18" operator="containsText" text="/">
      <formula>NOT(ISERROR(SEARCH("/",I50)))</formula>
    </cfRule>
  </conditionalFormatting>
  <conditionalFormatting sqref="C53:H53">
    <cfRule type="containsText" dxfId="14" priority="17" operator="containsText" text="/">
      <formula>NOT(ISERROR(SEARCH("/",C53)))</formula>
    </cfRule>
  </conditionalFormatting>
  <conditionalFormatting sqref="I89">
    <cfRule type="containsText" dxfId="13" priority="14" operator="containsText" text="/">
      <formula>NOT(ISERROR(SEARCH("/",I89)))</formula>
    </cfRule>
  </conditionalFormatting>
  <conditionalFormatting sqref="B89">
    <cfRule type="duplicateValues" dxfId="12" priority="15"/>
    <cfRule type="duplicateValues" dxfId="11" priority="16"/>
  </conditionalFormatting>
  <conditionalFormatting sqref="B25">
    <cfRule type="duplicateValues" dxfId="10" priority="10"/>
    <cfRule type="duplicateValues" dxfId="9" priority="11"/>
  </conditionalFormatting>
  <conditionalFormatting sqref="I75">
    <cfRule type="containsText" dxfId="8" priority="7" operator="containsText" text="/">
      <formula>NOT(ISERROR(SEARCH("/",I75)))</formula>
    </cfRule>
  </conditionalFormatting>
  <conditionalFormatting sqref="B75">
    <cfRule type="duplicateValues" dxfId="7" priority="8"/>
    <cfRule type="duplicateValues" dxfId="6" priority="9"/>
  </conditionalFormatting>
  <conditionalFormatting sqref="B43">
    <cfRule type="duplicateValues" dxfId="5" priority="5"/>
    <cfRule type="duplicateValues" dxfId="4" priority="6"/>
  </conditionalFormatting>
  <conditionalFormatting sqref="B173">
    <cfRule type="duplicateValues" dxfId="3" priority="3"/>
    <cfRule type="duplicateValues" dxfId="2" priority="4"/>
  </conditionalFormatting>
  <conditionalFormatting sqref="B129">
    <cfRule type="duplicateValues" dxfId="1" priority="1"/>
    <cfRule type="duplicateValues" dxfId="0" priority="2"/>
  </conditionalFormatting>
  <hyperlinks>
    <hyperlink ref="M3" r:id="rId1" xr:uid="{ABFEA90B-DC69-4123-9EED-23164CF46316}"/>
    <hyperlink ref="M4" r:id="rId2" xr:uid="{D60F6789-A4C9-4ADA-97DF-873841E60BA5}"/>
    <hyperlink ref="M7" r:id="rId3" xr:uid="{FACBD949-9A18-40DD-B6FD-614A85E40E45}"/>
    <hyperlink ref="M18" r:id="rId4" xr:uid="{C00F6C9A-8A5D-4269-A0B6-EDB784E1FCBB}"/>
    <hyperlink ref="M28" r:id="rId5" xr:uid="{42CD8D85-8527-428C-B4ED-ECF9D88732B2}"/>
    <hyperlink ref="M26" r:id="rId6" xr:uid="{2A8721F0-744E-42FA-9BD4-7209C9BF28C2}"/>
    <hyperlink ref="M29" r:id="rId7" xr:uid="{8ECD33BD-7898-4956-8236-69640CBE3D0C}"/>
    <hyperlink ref="M30" r:id="rId8" xr:uid="{96FBAD9D-3D34-4AD8-AA0B-D32EAFF14D97}"/>
    <hyperlink ref="M31" r:id="rId9" xr:uid="{95DBF37F-F319-4090-82FC-246DC8CACB19}"/>
    <hyperlink ref="M45" r:id="rId10" xr:uid="{4027549E-919B-4064-BEBB-51648BEAD8CA}"/>
    <hyperlink ref="M47" r:id="rId11" xr:uid="{F8E731F9-2A4E-4180-9D31-7C277ACE55CC}"/>
    <hyperlink ref="M60" r:id="rId12" xr:uid="{96E445C0-5772-4BA0-829D-34A8780EC50A}"/>
    <hyperlink ref="M64" r:id="rId13" xr:uid="{293A67F7-6CA5-498B-9456-86BCE9ED0842}"/>
    <hyperlink ref="M65" r:id="rId14" xr:uid="{FFFD8173-6FF3-4973-B642-CF98E28F40DC}"/>
    <hyperlink ref="M71" r:id="rId15" xr:uid="{F5D3E48B-536A-4560-A751-A6845B1DE0F0}"/>
    <hyperlink ref="M67" r:id="rId16" xr:uid="{3FD42FA9-FE98-45BC-BF0C-63CBD3A06239}"/>
    <hyperlink ref="M87" r:id="rId17" xr:uid="{F0B36401-FF20-49D1-BB63-E25AD6E8A2C8}"/>
    <hyperlink ref="M76" r:id="rId18" xr:uid="{25C64C73-EFAD-48FD-B49F-37008288FD07}"/>
    <hyperlink ref="M80" r:id="rId19" xr:uid="{10D2293F-BEC4-4D9D-B2EB-0586704D992C}"/>
    <hyperlink ref="M82" r:id="rId20" xr:uid="{5C9C0BD9-BB90-4D2C-8416-1F0084E305CF}"/>
    <hyperlink ref="M90" r:id="rId21" xr:uid="{177274FB-DB8F-4120-ADCA-C7DAAD907C05}"/>
    <hyperlink ref="M91" r:id="rId22" xr:uid="{8245D2C6-C578-48FA-964F-6EE1742445DB}"/>
    <hyperlink ref="M100" r:id="rId23" xr:uid="{3812DA33-70DC-4446-83A3-756C6934F51A}"/>
    <hyperlink ref="M101" r:id="rId24" xr:uid="{ED91F3DD-B102-41CD-996E-0928147C6080}"/>
    <hyperlink ref="M107" r:id="rId25" xr:uid="{C660E54F-4FB0-4108-B1D3-50B95E9BF100}"/>
    <hyperlink ref="M108" r:id="rId26" xr:uid="{C531D2B4-2EBA-4E7D-860C-0DB113E97926}"/>
    <hyperlink ref="M110" r:id="rId27" xr:uid="{24A08B71-0F98-4C4D-BAE1-6FD7E2ED7C6D}"/>
    <hyperlink ref="M111" r:id="rId28" xr:uid="{92C162CE-65C5-41B4-A5CA-64639A03C87F}"/>
    <hyperlink ref="M115" r:id="rId29" xr:uid="{1F342364-5A1F-4520-B4BC-B9ABE82818CB}"/>
    <hyperlink ref="M120" r:id="rId30" xr:uid="{46C96046-3A25-46E1-AE4B-37A82167974B}"/>
    <hyperlink ref="M123" r:id="rId31" xr:uid="{A7EB5892-F2D4-49AF-93EB-698804AFB54F}"/>
    <hyperlink ref="M132" r:id="rId32" xr:uid="{D8FA0C5D-6067-4247-98EF-20CAB0FB2A01}"/>
    <hyperlink ref="M135" r:id="rId33" xr:uid="{568542F8-C19F-4886-9B32-8B9E7C3979EB}"/>
    <hyperlink ref="M137" r:id="rId34" xr:uid="{1FD6E94D-9215-46FB-BB53-ECB9FA7C78EB}"/>
    <hyperlink ref="M141" r:id="rId35" xr:uid="{B578A798-49BB-4BFE-A712-5440BEAB41CC}"/>
    <hyperlink ref="M144" r:id="rId36" xr:uid="{16769FD8-9D6A-40AD-B668-F002605330ED}"/>
    <hyperlink ref="M147" r:id="rId37" xr:uid="{FA8CBBE9-5983-4CB5-90E0-E12156D27CC5}"/>
    <hyperlink ref="M149" r:id="rId38" xr:uid="{D0C65257-92AB-4162-BF2A-91C528C5368F}"/>
    <hyperlink ref="M150" r:id="rId39" xr:uid="{7D2F1BDF-3976-40D1-9C93-36E085FE45EB}"/>
    <hyperlink ref="M153" r:id="rId40" xr:uid="{5FEBBE28-0299-426D-B3C6-63B6092F437B}"/>
    <hyperlink ref="M156" r:id="rId41" xr:uid="{869EE0D7-CAB3-48BA-804E-034A1DE32184}"/>
    <hyperlink ref="M163" r:id="rId42" xr:uid="{CFE2C023-A394-4251-8403-A0AB01A32743}"/>
    <hyperlink ref="M164" r:id="rId43" xr:uid="{42F8C1EA-F6FA-44C5-BD77-CA256387FA83}"/>
    <hyperlink ref="M168" r:id="rId44" xr:uid="{ACDE8D77-D777-43FD-9456-264DB9D87224}"/>
    <hyperlink ref="M169" r:id="rId45" xr:uid="{6B4610C3-1AA8-4974-A912-EDFC8C5C0716}"/>
    <hyperlink ref="M170" r:id="rId46" xr:uid="{FA2FD100-1FB2-4718-99AD-D116889F2870}"/>
    <hyperlink ref="M175" r:id="rId47" xr:uid="{CC9CEE81-CA37-4A81-8BCA-C6309ED20C62}"/>
    <hyperlink ref="M127" r:id="rId48" xr:uid="{8C0FEB7F-852D-4252-90C9-FDCFDF58C494}"/>
    <hyperlink ref="M10" r:id="rId49" xr:uid="{DBA237B5-7927-47DF-B23B-C3FB8F9BF279}"/>
    <hyperlink ref="M13" r:id="rId50" xr:uid="{035EC4BC-C881-46A6-B4A6-B579E90FBC78}"/>
    <hyperlink ref="M114" r:id="rId51" xr:uid="{2D70AEF8-B8CD-49AB-839C-C8D81237DECE}"/>
    <hyperlink ref="M171" r:id="rId52" xr:uid="{4946D3BB-E244-4B39-A538-AB7B123F7D49}"/>
    <hyperlink ref="M179" r:id="rId53" xr:uid="{DE4BE90F-2969-47CD-A3D9-390D2A3DD713}"/>
    <hyperlink ref="M180" r:id="rId54" display="mailto:jawaid.mughal@hsc.com.pk" xr:uid="{5485C0A1-5631-4649-ACB6-CEEE6930023B}"/>
    <hyperlink ref="M181" r:id="rId55" display="mailto:sohail.zakaria@kcci.com.pk" xr:uid="{526CBBEA-E238-4064-825D-F2625F215068}"/>
    <hyperlink ref="M14" r:id="rId56" display="mailto:wajid.mirza@alrahimtextile.com" xr:uid="{B72505F9-9434-42BA-8BAE-438A90C4E310}"/>
    <hyperlink ref="M53" r:id="rId57" display="mailto:asadshah@esquare.com.pk" xr:uid="{C3E1BCE1-2305-446F-B792-7495CD52F914}"/>
    <hyperlink ref="M183" r:id="rId58" display="mailto:javeria@digitalgravity.ae" xr:uid="{C12ED125-50A8-426A-BEA0-72589E5E7DDD}"/>
    <hyperlink ref="M186" r:id="rId59" display="mailto:accounts-1@zishanengineers.com" xr:uid="{63D0768A-6824-43F9-9CC9-C32B4A77A312}"/>
    <hyperlink ref="M185" r:id="rId60" xr:uid="{4E7297B2-77CA-410D-89D3-A09AD0C1CEF5}"/>
    <hyperlink ref="M187" r:id="rId61" display="mailto:saadpirzada@studio-q.co" xr:uid="{6F28E46A-E797-43CF-A383-7D3C6B417F0A}"/>
    <hyperlink ref="M140" r:id="rId62" display="mailto:momal.fakhar@mrmtraders.com" xr:uid="{5252EB57-7189-40D9-A16E-4E2CF2C1BF8F}"/>
    <hyperlink ref="M188" r:id="rId63" display="mailto:mohi@decojent.com" xr:uid="{B96B67D0-3088-4C4A-BB4B-6B0B52AF4513}"/>
    <hyperlink ref="M189" r:id="rId64" display="mailto:hasan.korejo@sapphire.co" xr:uid="{A01F0AF5-5741-47A2-A605-C4627691037A}"/>
    <hyperlink ref="M190" r:id="rId65" display="mailto:salman.qamar@sapphire.co" xr:uid="{2ED596AF-0E3C-4C5C-A206-8B8DC995A0AD}"/>
    <hyperlink ref="M191" r:id="rId66" xr:uid="{049B3120-699F-4576-9BFD-C039E00CFB30}"/>
    <hyperlink ref="M192" r:id="rId67" display="mailto:rraza@aligarh.edu.pk" xr:uid="{B66A7DD1-6AF8-402D-9595-49F9CEABF574}"/>
    <hyperlink ref="M193" r:id="rId68" display="mailto:connect@tolaassociates.com" xr:uid="{15CFE3B2-10AD-4631-82FF-1B9B843B3B97}"/>
    <hyperlink ref="M194" r:id="rId69" display="mailto:imran.haider@readyeducation.com" xr:uid="{786E1C84-32CF-47DF-9455-74BED0BF8D97}"/>
    <hyperlink ref="M195" r:id="rId70" display="mailto:ab.kareemshah@gmail.com" xr:uid="{21068D98-4AE3-44B3-8EC0-D19320CA01F1}"/>
    <hyperlink ref="M72" r:id="rId71" xr:uid="{E00FB05C-9E86-4EAF-AF16-5D035FA94A1C}"/>
    <hyperlink ref="M196" r:id="rId72" display="mailto:kaziz@trafix.com" xr:uid="{E93B2C9F-7A56-45DD-A25A-8A82CD197358}"/>
    <hyperlink ref="M197" r:id="rId73" xr:uid="{7B44CAF6-4486-4E6A-8B17-11763EECA5DF}"/>
    <hyperlink ref="M198" r:id="rId74" xr:uid="{A5B5988F-DD73-4A11-A852-161FA834693D}"/>
    <hyperlink ref="M199" r:id="rId75" display="mailto:danish.mohiuddin@bankislami.com.pk" xr:uid="{98C0990B-58C9-427B-AAEB-9725283AADEA}"/>
    <hyperlink ref="M200" r:id="rId76" display="mailto:danish.mohiuddin@bankislami.com.pk" xr:uid="{4B72D51F-3F70-42ED-A1B2-20FCE90B7F6E}"/>
    <hyperlink ref="M201" r:id="rId77" display="mailto:sierratextiles@gmail.com" xr:uid="{67FEC54F-05FF-4003-8DB9-08AE479AB32A}"/>
    <hyperlink ref="M202" r:id="rId78" display="mailto:sierratextiles@gmail.com" xr:uid="{B3A3207F-B8D4-4B3B-90DB-12EC19D398A8}"/>
    <hyperlink ref="M203" r:id="rId79" display="mailto:farid.khan@cirrus-intl.com" xr:uid="{47B1FB67-75EE-45B8-91D8-1FC8FA8A05D7}"/>
    <hyperlink ref="M204" r:id="rId80" display="mailto:finance@zavia.com.pk" xr:uid="{482C6D54-E3DE-44BB-A8DB-E454E86A5497}"/>
    <hyperlink ref="M205" r:id="rId81" display="mailto:rameez.mehboob@salaamtakaful.com" xr:uid="{902DCB36-64AF-41DD-B7D9-2C685C005FA8}"/>
    <hyperlink ref="M206" r:id="rId82" display="mailto:rameez.mehboob@salaamtakaful.com" xr:uid="{98B9D58B-3FB9-419F-A8D9-FFF327975CE6}"/>
    <hyperlink ref="M207" r:id="rId83" display="mailto:khurram.morris@arifhabibltd.com" xr:uid="{B024A97D-1C01-44F9-B721-392EF0666E34}"/>
    <hyperlink ref="M208" r:id="rId84" display="mailto:dania.razi@ecil.com" xr:uid="{89AB755E-854F-4200-87C0-7C4248D01BEA}"/>
    <hyperlink ref="M209" r:id="rId85" display="mailto:ghulam.qadir@hfs.com.pk" xr:uid="{E9155858-115E-48F6-A024-615F6B7B4A42}"/>
    <hyperlink ref="M210" r:id="rId86" display="mailto:accounts@alphaaviationsltd.com" xr:uid="{21BA4BAC-5F32-4D23-B4CA-FB24CE743182}"/>
    <hyperlink ref="M211" r:id="rId87" display="mailto:babar@orient-power.com" xr:uid="{7355CD12-2219-4973-ABBC-60BB55F74D9C}"/>
    <hyperlink ref="M212" r:id="rId88" display="mailto:fareha.laiq@aaj.tv" xr:uid="{7187B279-EFD9-4F8C-B9F1-8C2D5D1B4676}"/>
    <hyperlink ref="M213" r:id="rId89" display="mailto:syed_aqeel.ahmed@novartis.com" xr:uid="{B4C4525D-AF1C-459F-A37A-5CC0E7BE7D19}"/>
    <hyperlink ref="M214" r:id="rId90" display="mailto:aleem@rni.com.pk" xr:uid="{C7EA7318-E1A7-4FB6-83CB-DEF0DBB4C6C2}"/>
    <hyperlink ref="M215" r:id="rId91" display="mailto:hr@mimaknit.com" xr:uid="{37B592CB-88E0-49FB-9384-4F79A5D068F2}"/>
    <hyperlink ref="M216" r:id="rId92" display="mailto:srt.vds@gmail.com" xr:uid="{2C3A2464-48B8-45E0-845C-CFBEF3803A09}"/>
    <hyperlink ref="M217" r:id="rId93" display="mailto:karim.lakhani@pslpet.com" xr:uid="{1B23A37F-D537-4F73-9DF9-6851165D25AC}"/>
    <hyperlink ref="M218" r:id="rId94" display="mailto:kashifjan@smiu.edu.pk" xr:uid="{667C5E51-6D21-46ED-8552-0089571D70AE}"/>
    <hyperlink ref="M219" r:id="rId95" display="mailto:bfund@icap.org.pk" xr:uid="{D0837542-DF73-49C3-AEB3-1842ED5AEDD6}"/>
    <hyperlink ref="M220" r:id="rId96" display="mailto:muhammad.farhan@uniqueinsurancebrokers.com" xr:uid="{349A5A4D-612A-474C-BAE5-C912306F9E46}"/>
    <hyperlink ref="M221" r:id="rId97" display="mailto:medical.mgc@mgcpakistan.com" xr:uid="{4676D705-1E9A-4B2B-A39F-349473A473FB}"/>
    <hyperlink ref="M222:M223" r:id="rId98" display="mailto:medical.mgc@mgcpakistan.com" xr:uid="{BB49871D-9020-4132-A852-AAB1D87A2D52}"/>
    <hyperlink ref="M224" r:id="rId99" display="mailto:javed.iqbal@csd.gov.pk" xr:uid="{4A3AD83F-8F79-43F1-965E-35E2656610AE}"/>
    <hyperlink ref="M225" r:id="rId100" xr:uid="{179BBAEE-DC7B-488C-9F1E-E364DCD50E34}"/>
    <hyperlink ref="M226" r:id="rId101" xr:uid="{AE1871BB-9454-48DC-B73A-313987B5E36E}"/>
    <hyperlink ref="M227" r:id="rId102" xr:uid="{2A11DF83-7B12-4657-B56D-909C92574EC1}"/>
    <hyperlink ref="M228" r:id="rId103" xr:uid="{7CA028EF-7D95-4F12-BA72-B6BBC8151CFA}"/>
    <hyperlink ref="M229" r:id="rId104" xr:uid="{996BCA7A-7192-4FDF-B30A-8EAC6572B643}"/>
    <hyperlink ref="M230" r:id="rId105" xr:uid="{3CF8566B-9A62-4C2E-8DD5-76EFD8DA4FA1}"/>
    <hyperlink ref="M231" r:id="rId106" xr:uid="{B733FEA0-EA69-456D-933C-C87B2D4F10F6}"/>
    <hyperlink ref="M89" r:id="rId107" xr:uid="{216F9F55-27FF-4556-923C-CC707F8EFFF7}"/>
    <hyperlink ref="M232" r:id="rId108" xr:uid="{7B73DBAC-C51E-450C-9383-A76AC80CE2FD}"/>
    <hyperlink ref="M233" r:id="rId109" xr:uid="{C0FDCB12-1BB6-48FF-AE57-721E7781A631}"/>
    <hyperlink ref="M234" r:id="rId110" xr:uid="{1DDFD741-24F0-49B2-AEE2-DD7391598270}"/>
    <hyperlink ref="M236" r:id="rId111" display="mailto:hammad.iqbal@fib.com.pk" xr:uid="{375640A6-A56D-44B4-BADE-244E08A913B1}"/>
    <hyperlink ref="M249" r:id="rId112" display="mailto:muhammad.farhan@uniqueinsurancebrokers.com" xr:uid="{F47E40EF-6109-4438-9271-490FE4E1A233}"/>
    <hyperlink ref="M250" r:id="rId113" xr:uid="{7A908CCD-001F-469C-9CC1-5183B8D1404F}"/>
    <hyperlink ref="M75" r:id="rId114" display="mailto:fasih.ahmed@rmspk.com" xr:uid="{C701F2C0-1441-4667-A936-5E7DB9875B90}"/>
    <hyperlink ref="M251" r:id="rId115" display="mailto:adm.exe.ho@star-liners.com" xr:uid="{07A3724C-5429-4F50-8031-A6BB6FB6F0F0}"/>
    <hyperlink ref="M252" r:id="rId116" display="mailto:irfanullahkhanafridi@yahoo.com" xr:uid="{42AB7CDB-CA44-4388-AC70-9916D2F854A8}"/>
    <hyperlink ref="M253" r:id="rId117" display="mailto:yasir.shafique@treehouseconsultancy.com" xr:uid="{7AE16010-30AA-48B8-A856-874599A511F1}"/>
    <hyperlink ref="M254" r:id="rId118" display="mailto:hamza@taskeen.org" xr:uid="{C02F5898-B2DD-4A87-90F6-CC294BB3D43A}"/>
    <hyperlink ref="M255" r:id="rId119" display="mailto:saud.ahmed@pakgrease.com.pk" xr:uid="{C97F0436-6C78-42F7-833B-54F82D3CA56E}"/>
    <hyperlink ref="M256" r:id="rId120" xr:uid="{EAB558E1-E0B9-4EA8-B46F-7AC3BA6D8511}"/>
    <hyperlink ref="M257" r:id="rId121" xr:uid="{4A3C1005-0D05-4415-90D9-66D923031F47}"/>
    <hyperlink ref="M258" r:id="rId122" xr:uid="{1D775E42-4D60-4475-AAF4-DAE20B8BB313}"/>
    <hyperlink ref="M259" r:id="rId123" display="mailto:accounts@luckyimpex.com" xr:uid="{33E43086-2D01-4529-B1E8-7F096E8D8F86}"/>
    <hyperlink ref="M260" r:id="rId124" xr:uid="{BD5FE5BC-1924-457C-8000-D0A02FA84140}"/>
    <hyperlink ref="M261" r:id="rId125" xr:uid="{EDD84DBC-AD07-4435-BADC-56640F9113B6}"/>
    <hyperlink ref="M262" r:id="rId126" xr:uid="{6B2C59A6-7F2B-4E94-825B-3CFE5464F0D9}"/>
    <hyperlink ref="M263" r:id="rId127" display="mailto:abishay@airlifttech.com" xr:uid="{2A9BFEBD-F0E2-49A8-8CA9-2843C39D07E0}"/>
    <hyperlink ref="M264" r:id="rId128" display="mailto:danish.farooqui@indusvalleylabs.com" xr:uid="{0BA49CD9-5737-4528-9809-E42426FBDF44}"/>
    <hyperlink ref="M266" r:id="rId129" display="mailto:muhammad.sumair@nkc.org.pk" xr:uid="{77486407-9737-4D30-B220-3C526949E431}"/>
    <hyperlink ref="M267" r:id="rId130" display="mailto:adil.sales@hondaquideen.com" xr:uid="{F4BFEC7A-F3BC-4C4A-B9FC-8601BA14D5DE}"/>
    <hyperlink ref="M268" r:id="rId131" display="mailto:raheel_malla@hotmail.com" xr:uid="{468884E9-02C3-4758-AB1E-153788C7CB31}"/>
    <hyperlink ref="M269" r:id="rId132" xr:uid="{CD350616-32B3-4DAE-8425-5FB3F64B3685}"/>
    <hyperlink ref="M270" r:id="rId133" display="mailto:shamsifoundation@gmail.com" xr:uid="{1348B911-C102-4A3C-B1A7-C4B82559394C}"/>
    <hyperlink ref="M272" r:id="rId134" display="mailto:shirin@rmspk.com" xr:uid="{3D6789E8-38CD-4953-9F3B-FFF27317E6AB}"/>
    <hyperlink ref="M273" r:id="rId135" display="mailto:haris.javed@tradewheel.com" xr:uid="{EB2A750F-AF49-4F95-B553-364D86856A1D}"/>
    <hyperlink ref="M274" r:id="rId136" display="mailto:sharjeel_parekh@hotmail.com" xr:uid="{D4DD9F1B-38AD-4B2F-A6BC-4D5242D99878}"/>
    <hyperlink ref="M275" r:id="rId137" display="mailto:bilal@hoorapharma.com" xr:uid="{34CE8E78-5A1B-4CB7-BB7D-5FF95386BBA1}"/>
    <hyperlink ref="M276" r:id="rId138" display="mailto:danish.khan@techaccess.com" xr:uid="{6B074751-CE1D-4163-B8CD-E91EB9F6FC8C}"/>
    <hyperlink ref="M277" r:id="rId139" display="mailto:hassan.a@pennsteel.com" xr:uid="{94F8A0F0-6CF0-4B7F-95CC-47E364847FEF}"/>
    <hyperlink ref="M278" r:id="rId140" display="mailto:asifa.noman@haball.pk" xr:uid="{127ACF84-5CD6-4702-8DDD-E52B8997B726}"/>
    <hyperlink ref="M279" r:id="rId141" display="mailto:accounts@ayoobtextile.com" xr:uid="{D3688B0C-1D8D-462E-BFBA-CE48143642F4}"/>
    <hyperlink ref="M280" r:id="rId142" display="mailto:accountpk1@jinshanchemical.com" xr:uid="{3DB4482C-4225-4918-B95F-F73FF7EE140A}"/>
    <hyperlink ref="M281" r:id="rId143" display="mailto:fahad.khatri@dwwlg.com" xr:uid="{E5BD6960-7F7E-4C12-AE7E-BC82E361005A}"/>
    <hyperlink ref="M282" r:id="rId144" display="mailto:suraya.ali@advancedhealth.com.pk" xr:uid="{D865D3F4-7378-4A8B-9D7B-848F813FF479}"/>
    <hyperlink ref="M283" r:id="rId145" display="mailto:syedaaqsa@ams-org.com" xr:uid="{9007CCC9-D346-4172-9AD5-44A173B7454E}"/>
    <hyperlink ref="M284" r:id="rId146" display="mailto:umair.ahmed@shahidafridifoundation.org" xr:uid="{E4FBA7DD-458F-4600-AEAC-3E31A05A59C8}"/>
    <hyperlink ref="M285" r:id="rId147" display="mailto:hr@code-avenue.com" xr:uid="{73B8FA2B-5476-4179-9208-9C5FF1EA9214}"/>
    <hyperlink ref="M286" r:id="rId148" display="mailto:ramsha@scalemill.com" xr:uid="{9108AAD3-C52F-4404-A561-F0ECF2983E56}"/>
    <hyperlink ref="M287" r:id="rId149" display="mailto:jehangir@alfaadhi.pk" xr:uid="{BC438F18-C82E-4EEA-8576-F117542817A3}"/>
    <hyperlink ref="M288" r:id="rId150" display="mailto:alikausar157@gmail.com" xr:uid="{3BBBC538-4839-46A9-9D6E-9609D24D8841}"/>
    <hyperlink ref="M289" r:id="rId151" display="mailto:s.misbah@miracleminerals.com.pk" xr:uid="{02D5AF72-1B49-40E5-9273-FA75666F6553}"/>
    <hyperlink ref="M292" r:id="rId152" display="mailto:haseeb@hashmove.com" xr:uid="{E8CE2168-97AE-4255-B1A3-2FCD4A6E2EE2}"/>
    <hyperlink ref="M290:M291" r:id="rId153" display="mailto:s.misbah@miracleminerals.com.pk" xr:uid="{0CC453B0-A61D-4788-9EF9-2AECA250058A}"/>
    <hyperlink ref="M293" r:id="rId154" display="mailto:ahmed.hassan@tabrospharma.com" xr:uid="{696193F2-A7C3-48A2-8C62-26E75A9351FF}"/>
    <hyperlink ref="M294" r:id="rId155" display="mailto:medical.mgc@mgcpakistan.com" xr:uid="{F9613441-73E5-45DF-AAB2-F8BB9B02EF40}"/>
    <hyperlink ref="M295" r:id="rId156" display="mailto:sfatima@foree.co" xr:uid="{8496C174-5455-4D89-A1E1-6E98A0E07EA1}"/>
    <hyperlink ref="M296" r:id="rId157" display="mailto:faisalrazzaq@dhamidi.com" xr:uid="{06AEEA61-0402-4598-8335-7C8CBBA50BED}"/>
    <hyperlink ref="M297" r:id="rId158" display="mailto:majid_mateen@hotmail.com" xr:uid="{62DE6073-3A65-41CE-9E32-F10338679D88}"/>
    <hyperlink ref="M298" r:id="rId159" display="mailto:irfanafridi747@gmail.com" xr:uid="{9F362115-B3AE-48C4-8991-37594D99526D}"/>
    <hyperlink ref="M299" r:id="rId160" display="mailto:mfbaig@conductivity.com.pk" xr:uid="{ADB79380-903F-4FD6-ADC5-3A63BFD49566}"/>
    <hyperlink ref="M300" r:id="rId161" display="mailto:ahsan@coatinks.com" xr:uid="{D7EB6B59-5007-4D3B-803E-0611FF269A62}"/>
    <hyperlink ref="M301" r:id="rId162" display="mailto:jawad.gung786@gmail.com%3E" xr:uid="{CECB8ABD-5998-482C-9081-FB7AE8AC5EE5}"/>
    <hyperlink ref="M302" r:id="rId163" display="mailto:ahsan@coatinks.com" xr:uid="{DAD1FCBF-5EE1-4337-AAE1-845BFCBA6294}"/>
    <hyperlink ref="M303" r:id="rId164" display="mailto:hr@codeninjaconsulting.com" xr:uid="{150D631E-8A9F-40DB-A6DA-027FFB58A3C5}"/>
    <hyperlink ref="M305" r:id="rId165" display="mailto:sharmeen.mehmood@kaispe.com" xr:uid="{1A51D986-FC73-4233-BC26-56BE09E9D76E}"/>
    <hyperlink ref="M306" r:id="rId166" display="mailto:qasim@impulztech.com" xr:uid="{1BE9AED6-9818-44BD-A099-B80F720DED64}"/>
    <hyperlink ref="M307" r:id="rId167" display="mailto:ihsan.zulfiqar@skyelectric.com" xr:uid="{97A2B507-3A4E-40F8-A45D-119096EA5EB9}"/>
    <hyperlink ref="M308" r:id="rId168" display="mailto:khalidmehmood@baqai.edu.pk" xr:uid="{F601D485-18DC-40E1-AA70-6712AB4BF2A5}"/>
    <hyperlink ref="M309" r:id="rId169" display="mailto:alkindi@ufs.com.pk" xr:uid="{BDD4785A-CEA7-42C1-AB4D-F05EF554626F}"/>
    <hyperlink ref="M310" r:id="rId170" display="mailto:hamza@bills-inc.com" xr:uid="{F0CB12AD-907C-419F-90BF-3750EAD3D906}"/>
    <hyperlink ref="M311" r:id="rId171" display="mailto:inayat2005@hotmail.com" xr:uid="{D29F8ED5-34C0-4BE4-B865-21892FB62AF1}"/>
    <hyperlink ref="M312" r:id="rId172" display="mailto:waleed.hussain@talent-edge.net" xr:uid="{1D145445-D679-4031-9FE4-EB03BC1116AE}"/>
    <hyperlink ref="M313" r:id="rId173" display="mailto:syed@markhorship.com" xr:uid="{F52A343E-4E80-46E1-B811-A05D7F94903B}"/>
    <hyperlink ref="M314" r:id="rId174" display="mailto:yasar.z@baysinternational.com" xr:uid="{F282FA21-3AB2-494F-92F3-EBD2027F97A2}"/>
    <hyperlink ref="M315" r:id="rId175" display="mailto:hr@kardiya.com" xr:uid="{20C3FB98-E777-4AD4-A4E5-74D53632B569}"/>
    <hyperlink ref="M316" r:id="rId176" display="mailto:attn.muhammad@gmail.com" xr:uid="{C1E58091-294D-410C-B946-543154AAA89C}"/>
    <hyperlink ref="M317" r:id="rId177" display="mailto:nabeel@toyota-pq.com" xr:uid="{9378CCDA-7CCF-4296-AC6A-81E0CCD8AB6F}"/>
    <hyperlink ref="M318" r:id="rId178" display="mailto:kamran.hafeez@aishasteel.com" xr:uid="{DECF5368-8CC4-4C9F-BCBC-E745B86C50EC}"/>
    <hyperlink ref="M319" r:id="rId179" display="mailto:uzma.saleem@ahkgroup.com" xr:uid="{47950486-8544-4C54-BCB7-1C54300C9E61}"/>
    <hyperlink ref="M320" r:id="rId180" display="mailto:rameez@ranipursugarmills.com" xr:uid="{C7793A48-D5FA-47BA-A5D8-230281CA2E3A}"/>
    <hyperlink ref="M321" r:id="rId181" display="mailto:h.munir@trellisfi.com" xr:uid="{0D7E7709-4B09-47AE-83D3-FD88B653D34B}"/>
    <hyperlink ref="L322" r:id="rId182" display="mailto:imran.ahmed@polymerxs.com" xr:uid="{418DC0E4-EECA-4656-9666-10F8D5043A3F}"/>
    <hyperlink ref="L323" r:id="rId183" display="mailto:imran.ahmed@polymerxs.com" xr:uid="{8926E707-577B-45BE-B9C1-F629409C4785}"/>
    <hyperlink ref="M324" r:id="rId184" display="mailto:mahrukh.anwar@teamcollective.com" xr:uid="{3F67CB02-9067-4639-8104-554C91338BF3}"/>
    <hyperlink ref="M325" r:id="rId185" xr:uid="{C30007D8-B6EE-489E-A220-97F673ABF97A}"/>
    <hyperlink ref="M326" r:id="rId186" display="mailto:khurram.morris@arifhabibltd.com" xr:uid="{3C7995CA-DDF3-4725-B569-C198ABB69477}"/>
    <hyperlink ref="M327" r:id="rId187" display="mailto:junaid.sheikh@kualitatem.com" xr:uid="{A00CCE1F-4842-4B6A-B969-4C1C17353234}"/>
    <hyperlink ref="M328" r:id="rId188" display="mailto:arslan.mustafa@elitetechlogix.com" xr:uid="{70A769F7-67ED-4920-A459-270D8A21320F}"/>
    <hyperlink ref="M329" r:id="rId189" display="mailto:zrehman@grasso-adearest.com" xr:uid="{E7465D3C-2961-4CC3-810F-6CD9875E1840}"/>
    <hyperlink ref="M330" r:id="rId190" display="mailto:qaziumar.farooq@abacus-global.com%3E" xr:uid="{075DDDBA-D90A-47A0-BEF9-8B45069F85CD}"/>
    <hyperlink ref="M331" r:id="rId191" display="mailto:fahad.shaheryar@meritincentives.com" xr:uid="{99613AB4-281D-4432-A0C0-812C13EA82C1}"/>
    <hyperlink ref="M332" r:id="rId192" display="mailto:kashif.majeed@people.com.pk" xr:uid="{E48295C5-95C1-439D-ABB5-3585203C931F}"/>
    <hyperlink ref="M333" r:id="rId193" display="mailto:rabia.nadeem@finaltier.com" xr:uid="{01773A54-7E49-4DEA-B19A-973DAD6F0B61}"/>
  </hyperlinks>
  <pageMargins left="0.7" right="0.7" top="0.75" bottom="0.75" header="0.3" footer="0.3"/>
  <pageSetup orientation="portrait" r:id="rId1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3104-3D72-4587-8FB3-D25DC7B2BA47}">
  <dimension ref="A1:K310"/>
  <sheetViews>
    <sheetView topLeftCell="A2" workbookViewId="0">
      <selection activeCell="C2" sqref="C2"/>
    </sheetView>
  </sheetViews>
  <sheetFormatPr defaultRowHeight="12" x14ac:dyDescent="0.2"/>
  <cols>
    <col min="1" max="1" width="44.5" bestFit="1" customWidth="1"/>
    <col min="2" max="2" width="51.83203125" bestFit="1" customWidth="1"/>
    <col min="3" max="3" width="29.1640625" bestFit="1" customWidth="1"/>
    <col min="4" max="5" width="16.5" bestFit="1" customWidth="1"/>
    <col min="7" max="7" width="10.83203125" bestFit="1" customWidth="1"/>
  </cols>
  <sheetData>
    <row r="1" spans="1:7" ht="15.75" thickBot="1" x14ac:dyDescent="0.25">
      <c r="A1" s="27" t="s">
        <v>841</v>
      </c>
      <c r="B1" s="28" t="s">
        <v>842</v>
      </c>
      <c r="C1" s="28" t="s">
        <v>843</v>
      </c>
      <c r="D1" s="28" t="s">
        <v>844</v>
      </c>
      <c r="E1" s="29" t="s">
        <v>845</v>
      </c>
    </row>
    <row r="2" spans="1:7" ht="15.75" thickBot="1" x14ac:dyDescent="0.25">
      <c r="A2" s="30" t="s">
        <v>424</v>
      </c>
      <c r="B2" s="31" t="s">
        <v>199</v>
      </c>
      <c r="C2" s="31" t="s">
        <v>65</v>
      </c>
      <c r="D2" s="32">
        <v>8801180</v>
      </c>
      <c r="E2" s="33" t="s">
        <v>846</v>
      </c>
    </row>
    <row r="3" spans="1:7" ht="15.75" thickBot="1" x14ac:dyDescent="0.25">
      <c r="A3" s="34" t="s">
        <v>315</v>
      </c>
      <c r="B3" s="31" t="s">
        <v>202</v>
      </c>
      <c r="C3" s="31" t="s">
        <v>162</v>
      </c>
      <c r="D3" s="32">
        <v>8801180</v>
      </c>
      <c r="E3" s="33" t="s">
        <v>846</v>
      </c>
    </row>
    <row r="4" spans="1:7" ht="15.75" thickBot="1" x14ac:dyDescent="0.25">
      <c r="A4" s="30" t="s">
        <v>380</v>
      </c>
      <c r="B4" s="31" t="s">
        <v>240</v>
      </c>
      <c r="C4" s="31" t="s">
        <v>847</v>
      </c>
      <c r="D4" s="32">
        <v>8800849</v>
      </c>
      <c r="E4" s="35" t="s">
        <v>846</v>
      </c>
    </row>
    <row r="5" spans="1:7" ht="15.75" thickBot="1" x14ac:dyDescent="0.25">
      <c r="A5" s="30" t="s">
        <v>379</v>
      </c>
      <c r="B5" s="31" t="s">
        <v>243</v>
      </c>
      <c r="C5" s="31" t="s">
        <v>847</v>
      </c>
      <c r="D5" s="32">
        <v>8800849</v>
      </c>
      <c r="E5" s="35" t="s">
        <v>846</v>
      </c>
    </row>
    <row r="6" spans="1:7" ht="15.75" thickBot="1" x14ac:dyDescent="0.25">
      <c r="A6" s="30" t="s">
        <v>381</v>
      </c>
      <c r="B6" s="31" t="s">
        <v>244</v>
      </c>
      <c r="C6" s="31" t="s">
        <v>847</v>
      </c>
      <c r="D6" s="32">
        <v>8800849</v>
      </c>
      <c r="E6" s="35" t="s">
        <v>846</v>
      </c>
    </row>
    <row r="7" spans="1:7" ht="15.75" thickBot="1" x14ac:dyDescent="0.25">
      <c r="A7" s="30" t="s">
        <v>378</v>
      </c>
      <c r="B7" s="31" t="s">
        <v>245</v>
      </c>
      <c r="C7" s="31" t="s">
        <v>847</v>
      </c>
      <c r="D7" s="32">
        <v>8800849</v>
      </c>
      <c r="E7" s="35" t="s">
        <v>846</v>
      </c>
    </row>
    <row r="8" spans="1:7" ht="15.75" thickBot="1" x14ac:dyDescent="0.25">
      <c r="A8" s="30" t="s">
        <v>376</v>
      </c>
      <c r="B8" s="31" t="s">
        <v>246</v>
      </c>
      <c r="C8" s="31" t="s">
        <v>847</v>
      </c>
      <c r="D8" s="32">
        <v>8800849</v>
      </c>
      <c r="E8" s="35" t="s">
        <v>846</v>
      </c>
    </row>
    <row r="9" spans="1:7" ht="15.75" thickBot="1" x14ac:dyDescent="0.25">
      <c r="A9" s="30" t="s">
        <v>377</v>
      </c>
      <c r="B9" s="31" t="s">
        <v>247</v>
      </c>
      <c r="C9" s="31" t="s">
        <v>847</v>
      </c>
      <c r="D9" s="32">
        <v>8800849</v>
      </c>
      <c r="E9" s="33" t="s">
        <v>846</v>
      </c>
    </row>
    <row r="10" spans="1:7" ht="15.75" thickBot="1" x14ac:dyDescent="0.25">
      <c r="A10" s="34" t="s">
        <v>543</v>
      </c>
      <c r="B10" s="31" t="s">
        <v>249</v>
      </c>
      <c r="C10" s="31" t="s">
        <v>162</v>
      </c>
      <c r="D10" s="32">
        <v>8800595</v>
      </c>
      <c r="E10" s="33" t="s">
        <v>846</v>
      </c>
    </row>
    <row r="11" spans="1:7" ht="15.75" thickBot="1" x14ac:dyDescent="0.25">
      <c r="A11" s="30" t="s">
        <v>542</v>
      </c>
      <c r="B11" s="31" t="s">
        <v>251</v>
      </c>
      <c r="C11" s="31" t="s">
        <v>162</v>
      </c>
      <c r="D11" s="32">
        <v>8800595</v>
      </c>
      <c r="E11" s="33" t="s">
        <v>846</v>
      </c>
    </row>
    <row r="15" spans="1:7" ht="12.75" thickBot="1" x14ac:dyDescent="0.25">
      <c r="G15" s="79"/>
    </row>
    <row r="16" spans="1:7" ht="15.75" thickBot="1" x14ac:dyDescent="0.25">
      <c r="A16" s="27" t="s">
        <v>841</v>
      </c>
      <c r="B16" s="28" t="s">
        <v>842</v>
      </c>
      <c r="C16" s="28" t="s">
        <v>844</v>
      </c>
      <c r="D16" s="29" t="s">
        <v>845</v>
      </c>
      <c r="G16" s="79"/>
    </row>
    <row r="17" spans="1:4" ht="15.75" thickBot="1" x14ac:dyDescent="0.3">
      <c r="A17" s="51" t="s">
        <v>1521</v>
      </c>
      <c r="B17" s="51" t="s">
        <v>967</v>
      </c>
      <c r="C17" s="37" t="s">
        <v>1520</v>
      </c>
      <c r="D17" s="60" t="s">
        <v>846</v>
      </c>
    </row>
    <row r="18" spans="1:4" ht="15.75" thickBot="1" x14ac:dyDescent="0.3">
      <c r="A18" s="46" t="s">
        <v>1508</v>
      </c>
      <c r="B18" s="37" t="s">
        <v>1509</v>
      </c>
      <c r="C18" s="37" t="s">
        <v>1507</v>
      </c>
      <c r="D18" s="60" t="s">
        <v>846</v>
      </c>
    </row>
    <row r="19" spans="1:4" ht="15.75" thickBot="1" x14ac:dyDescent="0.3">
      <c r="A19" s="54" t="s">
        <v>1426</v>
      </c>
      <c r="B19" s="36" t="s">
        <v>895</v>
      </c>
      <c r="C19" s="37" t="s">
        <v>893</v>
      </c>
      <c r="D19" s="60" t="s">
        <v>846</v>
      </c>
    </row>
    <row r="20" spans="1:4" ht="15.75" thickBot="1" x14ac:dyDescent="0.3">
      <c r="A20" s="46" t="s">
        <v>1347</v>
      </c>
      <c r="B20" s="46" t="s">
        <v>1351</v>
      </c>
      <c r="C20" s="37" t="s">
        <v>1358</v>
      </c>
      <c r="D20" s="60" t="s">
        <v>846</v>
      </c>
    </row>
    <row r="32" spans="1:4" ht="15" x14ac:dyDescent="0.2">
      <c r="A32" s="59"/>
    </row>
    <row r="33" spans="1:1" ht="15" x14ac:dyDescent="0.2">
      <c r="A33" s="59"/>
    </row>
    <row r="34" spans="1:1" ht="15" x14ac:dyDescent="0.2">
      <c r="A34" s="59"/>
    </row>
    <row r="35" spans="1:1" ht="15" x14ac:dyDescent="0.2">
      <c r="A35" s="59"/>
    </row>
    <row r="36" spans="1:1" ht="15" x14ac:dyDescent="0.2">
      <c r="A36" s="59"/>
    </row>
    <row r="37" spans="1:1" ht="15" x14ac:dyDescent="0.2">
      <c r="A37" s="59"/>
    </row>
    <row r="38" spans="1:1" ht="15" x14ac:dyDescent="0.2">
      <c r="A38" s="59"/>
    </row>
    <row r="39" spans="1:1" ht="15" x14ac:dyDescent="0.2">
      <c r="A39" s="59"/>
    </row>
    <row r="310" spans="2:11" ht="15.75" thickBot="1" x14ac:dyDescent="0.25">
      <c r="B310" s="47" t="s">
        <v>1442</v>
      </c>
      <c r="H310" s="54" t="s">
        <v>1443</v>
      </c>
      <c r="I310" s="54" t="s">
        <v>1444</v>
      </c>
      <c r="J310" s="54" t="s">
        <v>1445</v>
      </c>
      <c r="K310" s="55" t="s">
        <v>1446</v>
      </c>
    </row>
  </sheetData>
  <hyperlinks>
    <hyperlink ref="E2" r:id="rId1" display="mailto:Salaam@123" xr:uid="{5A94BACF-FABE-4E62-AB2E-9298AD332B4F}"/>
    <hyperlink ref="E3" r:id="rId2" display="mailto:Salaam@123" xr:uid="{8C095FB2-6D12-406C-967D-955B107BE411}"/>
    <hyperlink ref="E9" r:id="rId3" display="mailto:Salaam@123" xr:uid="{96088AA2-79A8-4B18-B19C-E7A827997A38}"/>
    <hyperlink ref="E10" r:id="rId4" display="mailto:Salaam@123" xr:uid="{B29A8D64-32EB-4914-AE51-A9477645FE48}"/>
    <hyperlink ref="E11" r:id="rId5" display="mailto:Salaam@123" xr:uid="{72044D03-F289-4D95-BCCB-59CF2EE803AE}"/>
    <hyperlink ref="K310" r:id="rId6" display="mailto:hamza@bills-inc.com" xr:uid="{86C06CA4-D0F4-464D-8287-EB1E07563A6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Burhan Ali</cp:lastModifiedBy>
  <cp:lastPrinted>2022-03-09T08:07:02Z</cp:lastPrinted>
  <dcterms:created xsi:type="dcterms:W3CDTF">2021-02-12T07:53:05Z</dcterms:created>
  <dcterms:modified xsi:type="dcterms:W3CDTF">2022-09-06T13:03:34Z</dcterms:modified>
</cp:coreProperties>
</file>